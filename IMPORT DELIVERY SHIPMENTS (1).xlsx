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pbgroup-my.sharepoint.com/personal/syuhada_nadzi_ffmb_com_my/Documents/Desktop/Warehouse Container/"/>
    </mc:Choice>
  </mc:AlternateContent>
  <xr:revisionPtr revIDLastSave="2" documentId="8_{89D54DCA-360F-4FAA-A7F0-5EC139ECD6A5}" xr6:coauthVersionLast="47" xr6:coauthVersionMax="47" xr10:uidLastSave="{D3C95465-45EE-4E13-8D0B-074087E93FAB}"/>
  <bookViews>
    <workbookView xWindow="28680" yWindow="-120" windowWidth="29040" windowHeight="15720" xr2:uid="{01CE4608-FAC7-49FF-8777-3694CB86F11B}"/>
  </bookViews>
  <sheets>
    <sheet name="MAY-JULY" sheetId="4" r:id="rId1"/>
    <sheet name="BRANCHES" sheetId="9" r:id="rId2"/>
    <sheet name="Sheet2" sheetId="10" r:id="rId3"/>
    <sheet name="Sheet3" sheetId="7" r:id="rId4"/>
  </sheets>
  <definedNames>
    <definedName name="_xlnm._FilterDatabase" localSheetId="1" hidden="1">BRANCHES!$A$1:$U$66</definedName>
    <definedName name="_xlnm._FilterDatabase" localSheetId="0" hidden="1">'MAY-JULY'!$A$1:$V$562</definedName>
  </definedNames>
  <calcPr calcId="191028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9" i="4" l="1"/>
  <c r="R439" i="4" s="1"/>
  <c r="T439" i="4" s="1"/>
  <c r="Q439" i="4"/>
  <c r="S439" i="4" s="1"/>
  <c r="P440" i="4"/>
  <c r="R440" i="4" s="1"/>
  <c r="T440" i="4" s="1"/>
  <c r="Q440" i="4"/>
  <c r="S440" i="4" s="1"/>
  <c r="P441" i="4"/>
  <c r="R441" i="4" s="1"/>
  <c r="T441" i="4" s="1"/>
  <c r="Q441" i="4"/>
  <c r="S441" i="4" s="1"/>
  <c r="P442" i="4"/>
  <c r="R442" i="4" s="1"/>
  <c r="T442" i="4" s="1"/>
  <c r="Q442" i="4"/>
  <c r="S442" i="4" s="1"/>
  <c r="P443" i="4"/>
  <c r="R443" i="4" s="1"/>
  <c r="T443" i="4" s="1"/>
  <c r="Q443" i="4"/>
  <c r="S443" i="4" s="1"/>
  <c r="P444" i="4"/>
  <c r="R444" i="4" s="1"/>
  <c r="T444" i="4" s="1"/>
  <c r="Q444" i="4"/>
  <c r="S444" i="4" s="1"/>
  <c r="P445" i="4"/>
  <c r="R445" i="4" s="1"/>
  <c r="T445" i="4" s="1"/>
  <c r="Q445" i="4"/>
  <c r="S445" i="4" s="1"/>
  <c r="P446" i="4"/>
  <c r="R446" i="4" s="1"/>
  <c r="T446" i="4" s="1"/>
  <c r="Q446" i="4"/>
  <c r="S446" i="4" s="1"/>
  <c r="P447" i="4"/>
  <c r="R447" i="4" s="1"/>
  <c r="T447" i="4" s="1"/>
  <c r="Q447" i="4"/>
  <c r="S447" i="4" s="1"/>
  <c r="P448" i="4"/>
  <c r="R448" i="4" s="1"/>
  <c r="T448" i="4" s="1"/>
  <c r="Q448" i="4"/>
  <c r="S448" i="4" s="1"/>
  <c r="P449" i="4"/>
  <c r="R449" i="4" s="1"/>
  <c r="T449" i="4" s="1"/>
  <c r="Q449" i="4"/>
  <c r="S449" i="4" s="1"/>
  <c r="P450" i="4"/>
  <c r="R450" i="4" s="1"/>
  <c r="T450" i="4" s="1"/>
  <c r="Q450" i="4"/>
  <c r="S450" i="4" s="1"/>
  <c r="P451" i="4"/>
  <c r="R451" i="4" s="1"/>
  <c r="T451" i="4" s="1"/>
  <c r="Q451" i="4"/>
  <c r="S451" i="4" s="1"/>
  <c r="P452" i="4"/>
  <c r="R452" i="4" s="1"/>
  <c r="T452" i="4" s="1"/>
  <c r="Q452" i="4"/>
  <c r="S452" i="4" s="1"/>
  <c r="P453" i="4"/>
  <c r="R453" i="4" s="1"/>
  <c r="T453" i="4" s="1"/>
  <c r="Q453" i="4"/>
  <c r="S453" i="4" s="1"/>
  <c r="P454" i="4"/>
  <c r="R454" i="4" s="1"/>
  <c r="T454" i="4" s="1"/>
  <c r="Q454" i="4"/>
  <c r="S454" i="4" s="1"/>
  <c r="P455" i="4"/>
  <c r="R455" i="4" s="1"/>
  <c r="T455" i="4" s="1"/>
  <c r="Q455" i="4"/>
  <c r="S455" i="4" s="1"/>
  <c r="P456" i="4"/>
  <c r="R456" i="4" s="1"/>
  <c r="T456" i="4" s="1"/>
  <c r="Q456" i="4"/>
  <c r="S456" i="4" s="1"/>
  <c r="P457" i="4"/>
  <c r="R457" i="4" s="1"/>
  <c r="T457" i="4" s="1"/>
  <c r="Q457" i="4"/>
  <c r="S457" i="4" s="1"/>
  <c r="P458" i="4"/>
  <c r="R458" i="4" s="1"/>
  <c r="T458" i="4" s="1"/>
  <c r="Q458" i="4"/>
  <c r="S458" i="4" s="1"/>
  <c r="P459" i="4"/>
  <c r="R459" i="4" s="1"/>
  <c r="T459" i="4" s="1"/>
  <c r="Q459" i="4"/>
  <c r="S459" i="4" s="1"/>
  <c r="P460" i="4"/>
  <c r="R460" i="4" s="1"/>
  <c r="T460" i="4" s="1"/>
  <c r="Q460" i="4"/>
  <c r="S460" i="4" s="1"/>
  <c r="P461" i="4"/>
  <c r="R461" i="4" s="1"/>
  <c r="T461" i="4" s="1"/>
  <c r="Q461" i="4"/>
  <c r="S461" i="4" s="1"/>
  <c r="P462" i="4"/>
  <c r="R462" i="4" s="1"/>
  <c r="T462" i="4" s="1"/>
  <c r="Q462" i="4"/>
  <c r="S462" i="4" s="1"/>
  <c r="P463" i="4"/>
  <c r="R463" i="4" s="1"/>
  <c r="T463" i="4" s="1"/>
  <c r="Q463" i="4"/>
  <c r="S463" i="4" s="1"/>
  <c r="P464" i="4"/>
  <c r="R464" i="4" s="1"/>
  <c r="T464" i="4" s="1"/>
  <c r="Q464" i="4"/>
  <c r="S464" i="4" s="1"/>
  <c r="P465" i="4"/>
  <c r="R465" i="4" s="1"/>
  <c r="T465" i="4" s="1"/>
  <c r="Q465" i="4"/>
  <c r="S465" i="4" s="1"/>
  <c r="P466" i="4"/>
  <c r="R466" i="4" s="1"/>
  <c r="T466" i="4" s="1"/>
  <c r="Q466" i="4"/>
  <c r="S466" i="4" s="1"/>
  <c r="P467" i="4"/>
  <c r="R467" i="4" s="1"/>
  <c r="T467" i="4" s="1"/>
  <c r="Q467" i="4"/>
  <c r="S467" i="4" s="1"/>
  <c r="P468" i="4"/>
  <c r="R468" i="4" s="1"/>
  <c r="T468" i="4" s="1"/>
  <c r="Q468" i="4"/>
  <c r="S468" i="4" s="1"/>
  <c r="P469" i="4"/>
  <c r="R469" i="4" s="1"/>
  <c r="T469" i="4" s="1"/>
  <c r="Q469" i="4"/>
  <c r="S469" i="4" s="1"/>
  <c r="P470" i="4"/>
  <c r="R470" i="4" s="1"/>
  <c r="T470" i="4" s="1"/>
  <c r="Q470" i="4"/>
  <c r="S470" i="4" s="1"/>
  <c r="P471" i="4"/>
  <c r="R471" i="4" s="1"/>
  <c r="T471" i="4" s="1"/>
  <c r="Q471" i="4"/>
  <c r="S471" i="4" s="1"/>
  <c r="P472" i="4"/>
  <c r="R472" i="4" s="1"/>
  <c r="T472" i="4" s="1"/>
  <c r="Q472" i="4"/>
  <c r="S472" i="4" s="1"/>
  <c r="P473" i="4"/>
  <c r="R473" i="4" s="1"/>
  <c r="T473" i="4" s="1"/>
  <c r="Q473" i="4"/>
  <c r="S473" i="4" s="1"/>
  <c r="P474" i="4"/>
  <c r="R474" i="4" s="1"/>
  <c r="T474" i="4" s="1"/>
  <c r="Q474" i="4"/>
  <c r="S474" i="4" s="1"/>
  <c r="P475" i="4"/>
  <c r="R475" i="4" s="1"/>
  <c r="T475" i="4" s="1"/>
  <c r="Q475" i="4"/>
  <c r="S475" i="4" s="1"/>
  <c r="P476" i="4"/>
  <c r="R476" i="4" s="1"/>
  <c r="T476" i="4" s="1"/>
  <c r="Q476" i="4"/>
  <c r="S476" i="4" s="1"/>
  <c r="P477" i="4"/>
  <c r="R477" i="4" s="1"/>
  <c r="T477" i="4" s="1"/>
  <c r="Q477" i="4"/>
  <c r="S477" i="4" s="1"/>
  <c r="P478" i="4"/>
  <c r="R478" i="4" s="1"/>
  <c r="T478" i="4" s="1"/>
  <c r="Q478" i="4"/>
  <c r="S478" i="4" s="1"/>
  <c r="P479" i="4"/>
  <c r="R479" i="4" s="1"/>
  <c r="T479" i="4" s="1"/>
  <c r="Q479" i="4"/>
  <c r="S479" i="4" s="1"/>
  <c r="P480" i="4"/>
  <c r="R480" i="4" s="1"/>
  <c r="T480" i="4" s="1"/>
  <c r="Q480" i="4"/>
  <c r="S480" i="4" s="1"/>
  <c r="P481" i="4"/>
  <c r="R481" i="4" s="1"/>
  <c r="T481" i="4" s="1"/>
  <c r="Q481" i="4"/>
  <c r="S481" i="4" s="1"/>
  <c r="P482" i="4"/>
  <c r="R482" i="4" s="1"/>
  <c r="T482" i="4" s="1"/>
  <c r="Q482" i="4"/>
  <c r="S482" i="4" s="1"/>
  <c r="P483" i="4"/>
  <c r="R483" i="4" s="1"/>
  <c r="T483" i="4" s="1"/>
  <c r="Q483" i="4"/>
  <c r="S483" i="4" s="1"/>
  <c r="P484" i="4"/>
  <c r="R484" i="4" s="1"/>
  <c r="T484" i="4" s="1"/>
  <c r="Q484" i="4"/>
  <c r="S484" i="4" s="1"/>
  <c r="P485" i="4"/>
  <c r="R485" i="4" s="1"/>
  <c r="T485" i="4" s="1"/>
  <c r="Q485" i="4"/>
  <c r="S485" i="4" s="1"/>
  <c r="P486" i="4"/>
  <c r="R486" i="4" s="1"/>
  <c r="T486" i="4" s="1"/>
  <c r="Q486" i="4"/>
  <c r="S486" i="4" s="1"/>
  <c r="P487" i="4"/>
  <c r="R487" i="4" s="1"/>
  <c r="T487" i="4" s="1"/>
  <c r="Q487" i="4"/>
  <c r="S487" i="4" s="1"/>
  <c r="P488" i="4"/>
  <c r="R488" i="4" s="1"/>
  <c r="T488" i="4" s="1"/>
  <c r="Q488" i="4"/>
  <c r="S488" i="4" s="1"/>
  <c r="P489" i="4"/>
  <c r="R489" i="4" s="1"/>
  <c r="T489" i="4" s="1"/>
  <c r="Q489" i="4"/>
  <c r="S489" i="4" s="1"/>
  <c r="P490" i="4"/>
  <c r="R490" i="4" s="1"/>
  <c r="T490" i="4" s="1"/>
  <c r="Q490" i="4"/>
  <c r="S490" i="4" s="1"/>
  <c r="P491" i="4"/>
  <c r="R491" i="4" s="1"/>
  <c r="T491" i="4" s="1"/>
  <c r="Q491" i="4"/>
  <c r="S491" i="4" s="1"/>
  <c r="P492" i="4"/>
  <c r="R492" i="4" s="1"/>
  <c r="T492" i="4" s="1"/>
  <c r="Q492" i="4"/>
  <c r="S492" i="4" s="1"/>
  <c r="P493" i="4"/>
  <c r="R493" i="4" s="1"/>
  <c r="T493" i="4" s="1"/>
  <c r="Q493" i="4"/>
  <c r="S493" i="4" s="1"/>
  <c r="P494" i="4"/>
  <c r="R494" i="4" s="1"/>
  <c r="T494" i="4" s="1"/>
  <c r="Q494" i="4"/>
  <c r="S494" i="4" s="1"/>
  <c r="P495" i="4"/>
  <c r="R495" i="4" s="1"/>
  <c r="T495" i="4" s="1"/>
  <c r="Q495" i="4"/>
  <c r="S495" i="4" s="1"/>
  <c r="P496" i="4"/>
  <c r="R496" i="4" s="1"/>
  <c r="T496" i="4" s="1"/>
  <c r="Q496" i="4"/>
  <c r="S496" i="4" s="1"/>
  <c r="P497" i="4"/>
  <c r="R497" i="4" s="1"/>
  <c r="T497" i="4" s="1"/>
  <c r="Q497" i="4"/>
  <c r="S497" i="4" s="1"/>
  <c r="P498" i="4"/>
  <c r="R498" i="4" s="1"/>
  <c r="T498" i="4" s="1"/>
  <c r="Q498" i="4"/>
  <c r="S498" i="4" s="1"/>
  <c r="P499" i="4"/>
  <c r="R499" i="4" s="1"/>
  <c r="T499" i="4" s="1"/>
  <c r="Q499" i="4"/>
  <c r="S499" i="4" s="1"/>
  <c r="P500" i="4"/>
  <c r="R500" i="4" s="1"/>
  <c r="T500" i="4" s="1"/>
  <c r="Q500" i="4"/>
  <c r="S500" i="4" s="1"/>
  <c r="P501" i="4"/>
  <c r="R501" i="4" s="1"/>
  <c r="T501" i="4" s="1"/>
  <c r="Q501" i="4"/>
  <c r="S501" i="4" s="1"/>
  <c r="P502" i="4"/>
  <c r="R502" i="4" s="1"/>
  <c r="T502" i="4" s="1"/>
  <c r="Q502" i="4"/>
  <c r="S502" i="4" s="1"/>
  <c r="P503" i="4"/>
  <c r="R503" i="4" s="1"/>
  <c r="T503" i="4" s="1"/>
  <c r="Q503" i="4"/>
  <c r="S503" i="4" s="1"/>
  <c r="P504" i="4"/>
  <c r="R504" i="4" s="1"/>
  <c r="T504" i="4" s="1"/>
  <c r="Q504" i="4"/>
  <c r="S504" i="4" s="1"/>
  <c r="P505" i="4"/>
  <c r="R505" i="4" s="1"/>
  <c r="T505" i="4" s="1"/>
  <c r="Q505" i="4"/>
  <c r="S505" i="4" s="1"/>
  <c r="P506" i="4"/>
  <c r="R506" i="4" s="1"/>
  <c r="T506" i="4" s="1"/>
  <c r="Q506" i="4"/>
  <c r="S506" i="4" s="1"/>
  <c r="P507" i="4"/>
  <c r="R507" i="4" s="1"/>
  <c r="T507" i="4" s="1"/>
  <c r="Q507" i="4"/>
  <c r="S507" i="4" s="1"/>
  <c r="P508" i="4"/>
  <c r="R508" i="4" s="1"/>
  <c r="T508" i="4" s="1"/>
  <c r="Q508" i="4"/>
  <c r="S508" i="4" s="1"/>
  <c r="P509" i="4"/>
  <c r="R509" i="4" s="1"/>
  <c r="T509" i="4" s="1"/>
  <c r="Q509" i="4"/>
  <c r="S509" i="4" s="1"/>
  <c r="P510" i="4"/>
  <c r="R510" i="4" s="1"/>
  <c r="T510" i="4" s="1"/>
  <c r="Q510" i="4"/>
  <c r="S510" i="4" s="1"/>
  <c r="P511" i="4"/>
  <c r="R511" i="4" s="1"/>
  <c r="T511" i="4" s="1"/>
  <c r="Q511" i="4"/>
  <c r="S511" i="4" s="1"/>
  <c r="P512" i="4"/>
  <c r="R512" i="4" s="1"/>
  <c r="T512" i="4" s="1"/>
  <c r="Q512" i="4"/>
  <c r="S512" i="4" s="1"/>
  <c r="P513" i="4"/>
  <c r="R513" i="4" s="1"/>
  <c r="T513" i="4" s="1"/>
  <c r="Q513" i="4"/>
  <c r="S513" i="4" s="1"/>
  <c r="P514" i="4"/>
  <c r="R514" i="4" s="1"/>
  <c r="T514" i="4" s="1"/>
  <c r="Q514" i="4"/>
  <c r="S514" i="4" s="1"/>
  <c r="P515" i="4"/>
  <c r="R515" i="4" s="1"/>
  <c r="T515" i="4" s="1"/>
  <c r="Q515" i="4"/>
  <c r="S515" i="4" s="1"/>
  <c r="P516" i="4"/>
  <c r="R516" i="4" s="1"/>
  <c r="T516" i="4" s="1"/>
  <c r="Q516" i="4"/>
  <c r="S516" i="4" s="1"/>
  <c r="P517" i="4"/>
  <c r="R517" i="4" s="1"/>
  <c r="T517" i="4" s="1"/>
  <c r="Q517" i="4"/>
  <c r="S517" i="4" s="1"/>
  <c r="P518" i="4"/>
  <c r="R518" i="4" s="1"/>
  <c r="T518" i="4" s="1"/>
  <c r="Q518" i="4"/>
  <c r="S518" i="4" s="1"/>
  <c r="P519" i="4"/>
  <c r="R519" i="4" s="1"/>
  <c r="T519" i="4" s="1"/>
  <c r="Q519" i="4"/>
  <c r="S519" i="4" s="1"/>
  <c r="P520" i="4"/>
  <c r="R520" i="4" s="1"/>
  <c r="T520" i="4" s="1"/>
  <c r="Q520" i="4"/>
  <c r="S520" i="4" s="1"/>
  <c r="P521" i="4"/>
  <c r="R521" i="4" s="1"/>
  <c r="T521" i="4" s="1"/>
  <c r="Q521" i="4"/>
  <c r="S521" i="4" s="1"/>
  <c r="P522" i="4"/>
  <c r="R522" i="4" s="1"/>
  <c r="T522" i="4" s="1"/>
  <c r="Q522" i="4"/>
  <c r="S522" i="4" s="1"/>
  <c r="P523" i="4"/>
  <c r="R523" i="4" s="1"/>
  <c r="T523" i="4" s="1"/>
  <c r="Q523" i="4"/>
  <c r="S523" i="4" s="1"/>
  <c r="P524" i="4"/>
  <c r="R524" i="4" s="1"/>
  <c r="T524" i="4" s="1"/>
  <c r="Q524" i="4"/>
  <c r="S524" i="4" s="1"/>
  <c r="P525" i="4"/>
  <c r="R525" i="4" s="1"/>
  <c r="T525" i="4" s="1"/>
  <c r="Q525" i="4"/>
  <c r="S525" i="4" s="1"/>
  <c r="P526" i="4"/>
  <c r="R526" i="4" s="1"/>
  <c r="T526" i="4" s="1"/>
  <c r="Q526" i="4"/>
  <c r="S526" i="4" s="1"/>
  <c r="P527" i="4"/>
  <c r="R527" i="4" s="1"/>
  <c r="T527" i="4" s="1"/>
  <c r="Q527" i="4"/>
  <c r="S527" i="4" s="1"/>
  <c r="P528" i="4"/>
  <c r="R528" i="4" s="1"/>
  <c r="T528" i="4" s="1"/>
  <c r="Q528" i="4"/>
  <c r="S528" i="4" s="1"/>
  <c r="P529" i="4"/>
  <c r="R529" i="4" s="1"/>
  <c r="T529" i="4" s="1"/>
  <c r="Q529" i="4"/>
  <c r="S529" i="4" s="1"/>
  <c r="P530" i="4"/>
  <c r="R530" i="4" s="1"/>
  <c r="T530" i="4" s="1"/>
  <c r="Q530" i="4"/>
  <c r="S530" i="4" s="1"/>
  <c r="P531" i="4"/>
  <c r="R531" i="4" s="1"/>
  <c r="T531" i="4" s="1"/>
  <c r="Q531" i="4"/>
  <c r="S531" i="4" s="1"/>
  <c r="P532" i="4"/>
  <c r="R532" i="4" s="1"/>
  <c r="T532" i="4" s="1"/>
  <c r="Q532" i="4"/>
  <c r="S532" i="4" s="1"/>
  <c r="P533" i="4"/>
  <c r="R533" i="4" s="1"/>
  <c r="T533" i="4" s="1"/>
  <c r="Q533" i="4"/>
  <c r="S533" i="4" s="1"/>
  <c r="P534" i="4"/>
  <c r="R534" i="4" s="1"/>
  <c r="T534" i="4" s="1"/>
  <c r="Q534" i="4"/>
  <c r="S534" i="4" s="1"/>
  <c r="P535" i="4"/>
  <c r="R535" i="4" s="1"/>
  <c r="T535" i="4" s="1"/>
  <c r="Q535" i="4"/>
  <c r="S535" i="4" s="1"/>
  <c r="P536" i="4"/>
  <c r="R536" i="4" s="1"/>
  <c r="T536" i="4" s="1"/>
  <c r="Q536" i="4"/>
  <c r="S536" i="4" s="1"/>
  <c r="P537" i="4"/>
  <c r="R537" i="4" s="1"/>
  <c r="T537" i="4" s="1"/>
  <c r="Q537" i="4"/>
  <c r="S537" i="4" s="1"/>
  <c r="P538" i="4"/>
  <c r="R538" i="4" s="1"/>
  <c r="T538" i="4" s="1"/>
  <c r="Q538" i="4"/>
  <c r="S538" i="4" s="1"/>
  <c r="P539" i="4"/>
  <c r="R539" i="4" s="1"/>
  <c r="T539" i="4" s="1"/>
  <c r="Q539" i="4"/>
  <c r="S539" i="4" s="1"/>
  <c r="P540" i="4"/>
  <c r="R540" i="4" s="1"/>
  <c r="T540" i="4" s="1"/>
  <c r="Q540" i="4"/>
  <c r="S540" i="4" s="1"/>
  <c r="P541" i="4"/>
  <c r="R541" i="4" s="1"/>
  <c r="T541" i="4" s="1"/>
  <c r="Q541" i="4"/>
  <c r="S541" i="4" s="1"/>
  <c r="P542" i="4"/>
  <c r="R542" i="4" s="1"/>
  <c r="T542" i="4" s="1"/>
  <c r="Q542" i="4"/>
  <c r="S542" i="4" s="1"/>
  <c r="P543" i="4"/>
  <c r="R543" i="4" s="1"/>
  <c r="T543" i="4" s="1"/>
  <c r="Q543" i="4"/>
  <c r="S543" i="4" s="1"/>
  <c r="P544" i="4"/>
  <c r="R544" i="4" s="1"/>
  <c r="T544" i="4" s="1"/>
  <c r="Q544" i="4"/>
  <c r="S544" i="4" s="1"/>
  <c r="P545" i="4"/>
  <c r="R545" i="4" s="1"/>
  <c r="T545" i="4" s="1"/>
  <c r="Q545" i="4"/>
  <c r="S545" i="4" s="1"/>
  <c r="P546" i="4"/>
  <c r="R546" i="4" s="1"/>
  <c r="T546" i="4" s="1"/>
  <c r="Q546" i="4"/>
  <c r="S546" i="4" s="1"/>
  <c r="P547" i="4"/>
  <c r="R547" i="4" s="1"/>
  <c r="T547" i="4" s="1"/>
  <c r="Q547" i="4"/>
  <c r="S547" i="4" s="1"/>
  <c r="P548" i="4"/>
  <c r="R548" i="4" s="1"/>
  <c r="T548" i="4" s="1"/>
  <c r="Q548" i="4"/>
  <c r="S548" i="4" s="1"/>
  <c r="P549" i="4"/>
  <c r="R549" i="4" s="1"/>
  <c r="T549" i="4" s="1"/>
  <c r="Q549" i="4"/>
  <c r="S549" i="4" s="1"/>
  <c r="P550" i="4"/>
  <c r="R550" i="4" s="1"/>
  <c r="T550" i="4" s="1"/>
  <c r="Q550" i="4"/>
  <c r="S550" i="4" s="1"/>
  <c r="P551" i="4"/>
  <c r="R551" i="4" s="1"/>
  <c r="T551" i="4" s="1"/>
  <c r="Q551" i="4"/>
  <c r="S551" i="4" s="1"/>
  <c r="P552" i="4"/>
  <c r="R552" i="4" s="1"/>
  <c r="T552" i="4" s="1"/>
  <c r="Q552" i="4"/>
  <c r="S552" i="4" s="1"/>
  <c r="P553" i="4"/>
  <c r="R553" i="4" s="1"/>
  <c r="T553" i="4" s="1"/>
  <c r="Q553" i="4"/>
  <c r="S553" i="4" s="1"/>
  <c r="P554" i="4"/>
  <c r="R554" i="4" s="1"/>
  <c r="T554" i="4" s="1"/>
  <c r="Q554" i="4"/>
  <c r="S554" i="4" s="1"/>
  <c r="P555" i="4"/>
  <c r="R555" i="4" s="1"/>
  <c r="T555" i="4" s="1"/>
  <c r="Q555" i="4"/>
  <c r="S555" i="4" s="1"/>
  <c r="P556" i="4"/>
  <c r="R556" i="4" s="1"/>
  <c r="T556" i="4" s="1"/>
  <c r="Q556" i="4"/>
  <c r="S556" i="4" s="1"/>
  <c r="P557" i="4"/>
  <c r="R557" i="4" s="1"/>
  <c r="T557" i="4" s="1"/>
  <c r="Q557" i="4"/>
  <c r="S557" i="4" s="1"/>
  <c r="P558" i="4"/>
  <c r="R558" i="4" s="1"/>
  <c r="T558" i="4" s="1"/>
  <c r="Q558" i="4"/>
  <c r="S558" i="4" s="1"/>
  <c r="P559" i="4"/>
  <c r="R559" i="4" s="1"/>
  <c r="T559" i="4" s="1"/>
  <c r="Q559" i="4"/>
  <c r="S559" i="4" s="1"/>
  <c r="P560" i="4"/>
  <c r="R560" i="4" s="1"/>
  <c r="T560" i="4" s="1"/>
  <c r="Q560" i="4"/>
  <c r="S560" i="4" s="1"/>
  <c r="P561" i="4"/>
  <c r="R561" i="4" s="1"/>
  <c r="T561" i="4" s="1"/>
  <c r="Q561" i="4"/>
  <c r="S561" i="4" s="1"/>
  <c r="P562" i="4"/>
  <c r="R562" i="4" s="1"/>
  <c r="T562" i="4" s="1"/>
  <c r="Q562" i="4"/>
  <c r="S562" i="4" s="1"/>
  <c r="Q260" i="4" l="1"/>
  <c r="P260" i="4"/>
  <c r="R260" i="4" s="1"/>
  <c r="P390" i="4" l="1"/>
  <c r="R390" i="4" s="1"/>
  <c r="T390" i="4" s="1"/>
  <c r="Q390" i="4"/>
  <c r="S390" i="4" s="1"/>
  <c r="P391" i="4"/>
  <c r="R391" i="4" s="1"/>
  <c r="T391" i="4" s="1"/>
  <c r="Q391" i="4"/>
  <c r="S391" i="4" s="1"/>
  <c r="P392" i="4"/>
  <c r="R392" i="4" s="1"/>
  <c r="T392" i="4" s="1"/>
  <c r="Q392" i="4"/>
  <c r="S392" i="4" s="1"/>
  <c r="P393" i="4"/>
  <c r="R393" i="4" s="1"/>
  <c r="T393" i="4" s="1"/>
  <c r="Q393" i="4"/>
  <c r="S393" i="4" s="1"/>
  <c r="P394" i="4"/>
  <c r="R394" i="4" s="1"/>
  <c r="T394" i="4" s="1"/>
  <c r="Q394" i="4"/>
  <c r="S394" i="4" s="1"/>
  <c r="P395" i="4"/>
  <c r="R395" i="4" s="1"/>
  <c r="T395" i="4" s="1"/>
  <c r="Q395" i="4"/>
  <c r="S395" i="4" s="1"/>
  <c r="P396" i="4"/>
  <c r="R396" i="4" s="1"/>
  <c r="T396" i="4" s="1"/>
  <c r="Q396" i="4"/>
  <c r="S396" i="4" s="1"/>
  <c r="P397" i="4"/>
  <c r="R397" i="4" s="1"/>
  <c r="T397" i="4" s="1"/>
  <c r="Q397" i="4"/>
  <c r="S397" i="4" s="1"/>
  <c r="P398" i="4"/>
  <c r="R398" i="4" s="1"/>
  <c r="T398" i="4" s="1"/>
  <c r="Q398" i="4"/>
  <c r="S398" i="4" s="1"/>
  <c r="P399" i="4"/>
  <c r="R399" i="4" s="1"/>
  <c r="T399" i="4" s="1"/>
  <c r="Q399" i="4"/>
  <c r="S399" i="4" s="1"/>
  <c r="P400" i="4"/>
  <c r="R400" i="4" s="1"/>
  <c r="T400" i="4" s="1"/>
  <c r="Q400" i="4"/>
  <c r="S400" i="4" s="1"/>
  <c r="P401" i="4"/>
  <c r="R401" i="4" s="1"/>
  <c r="T401" i="4" s="1"/>
  <c r="Q401" i="4"/>
  <c r="S401" i="4" s="1"/>
  <c r="P402" i="4"/>
  <c r="R402" i="4" s="1"/>
  <c r="T402" i="4" s="1"/>
  <c r="Q402" i="4"/>
  <c r="S402" i="4" s="1"/>
  <c r="P403" i="4"/>
  <c r="R403" i="4" s="1"/>
  <c r="T403" i="4" s="1"/>
  <c r="Q403" i="4"/>
  <c r="S403" i="4" s="1"/>
  <c r="P404" i="4"/>
  <c r="R404" i="4" s="1"/>
  <c r="T404" i="4" s="1"/>
  <c r="Q404" i="4"/>
  <c r="S404" i="4" s="1"/>
  <c r="P405" i="4"/>
  <c r="R405" i="4" s="1"/>
  <c r="T405" i="4" s="1"/>
  <c r="Q405" i="4"/>
  <c r="S405" i="4" s="1"/>
  <c r="P406" i="4"/>
  <c r="R406" i="4" s="1"/>
  <c r="T406" i="4" s="1"/>
  <c r="Q406" i="4"/>
  <c r="S406" i="4" s="1"/>
  <c r="P407" i="4"/>
  <c r="R407" i="4" s="1"/>
  <c r="T407" i="4" s="1"/>
  <c r="Q407" i="4"/>
  <c r="S407" i="4" s="1"/>
  <c r="P408" i="4"/>
  <c r="R408" i="4" s="1"/>
  <c r="T408" i="4" s="1"/>
  <c r="Q408" i="4"/>
  <c r="S408" i="4" s="1"/>
  <c r="P409" i="4"/>
  <c r="R409" i="4" s="1"/>
  <c r="T409" i="4" s="1"/>
  <c r="Q409" i="4"/>
  <c r="S409" i="4" s="1"/>
  <c r="P410" i="4"/>
  <c r="R410" i="4" s="1"/>
  <c r="T410" i="4" s="1"/>
  <c r="Q410" i="4"/>
  <c r="S410" i="4" s="1"/>
  <c r="P411" i="4"/>
  <c r="R411" i="4" s="1"/>
  <c r="T411" i="4" s="1"/>
  <c r="Q411" i="4"/>
  <c r="S411" i="4" s="1"/>
  <c r="P412" i="4"/>
  <c r="R412" i="4" s="1"/>
  <c r="T412" i="4" s="1"/>
  <c r="Q412" i="4"/>
  <c r="S412" i="4" s="1"/>
  <c r="P413" i="4"/>
  <c r="R413" i="4" s="1"/>
  <c r="T413" i="4" s="1"/>
  <c r="Q413" i="4"/>
  <c r="S413" i="4" s="1"/>
  <c r="P414" i="4"/>
  <c r="R414" i="4" s="1"/>
  <c r="T414" i="4" s="1"/>
  <c r="Q414" i="4"/>
  <c r="S414" i="4" s="1"/>
  <c r="P415" i="4"/>
  <c r="R415" i="4" s="1"/>
  <c r="T415" i="4" s="1"/>
  <c r="Q415" i="4"/>
  <c r="S415" i="4" s="1"/>
  <c r="P416" i="4"/>
  <c r="R416" i="4" s="1"/>
  <c r="T416" i="4" s="1"/>
  <c r="Q416" i="4"/>
  <c r="S416" i="4" s="1"/>
  <c r="P417" i="4"/>
  <c r="R417" i="4" s="1"/>
  <c r="T417" i="4" s="1"/>
  <c r="Q417" i="4"/>
  <c r="S417" i="4" s="1"/>
  <c r="P418" i="4"/>
  <c r="R418" i="4" s="1"/>
  <c r="T418" i="4" s="1"/>
  <c r="Q418" i="4"/>
  <c r="S418" i="4" s="1"/>
  <c r="P419" i="4"/>
  <c r="R419" i="4" s="1"/>
  <c r="T419" i="4" s="1"/>
  <c r="Q419" i="4"/>
  <c r="S419" i="4" s="1"/>
  <c r="P420" i="4"/>
  <c r="R420" i="4" s="1"/>
  <c r="T420" i="4" s="1"/>
  <c r="Q420" i="4"/>
  <c r="S420" i="4" s="1"/>
  <c r="P421" i="4"/>
  <c r="R421" i="4" s="1"/>
  <c r="T421" i="4" s="1"/>
  <c r="Q421" i="4"/>
  <c r="S421" i="4" s="1"/>
  <c r="P422" i="4"/>
  <c r="R422" i="4" s="1"/>
  <c r="T422" i="4" s="1"/>
  <c r="Q422" i="4"/>
  <c r="S422" i="4" s="1"/>
  <c r="P423" i="4"/>
  <c r="R423" i="4" s="1"/>
  <c r="T423" i="4" s="1"/>
  <c r="Q423" i="4"/>
  <c r="S423" i="4" s="1"/>
  <c r="P424" i="4"/>
  <c r="R424" i="4" s="1"/>
  <c r="T424" i="4" s="1"/>
  <c r="Q424" i="4"/>
  <c r="S424" i="4" s="1"/>
  <c r="P425" i="4"/>
  <c r="R425" i="4" s="1"/>
  <c r="T425" i="4" s="1"/>
  <c r="Q425" i="4"/>
  <c r="S425" i="4" s="1"/>
  <c r="P426" i="4"/>
  <c r="R426" i="4" s="1"/>
  <c r="T426" i="4" s="1"/>
  <c r="Q426" i="4"/>
  <c r="S426" i="4" s="1"/>
  <c r="P427" i="4"/>
  <c r="R427" i="4" s="1"/>
  <c r="T427" i="4" s="1"/>
  <c r="Q427" i="4"/>
  <c r="S427" i="4" s="1"/>
  <c r="P428" i="4"/>
  <c r="R428" i="4" s="1"/>
  <c r="T428" i="4" s="1"/>
  <c r="Q428" i="4"/>
  <c r="S428" i="4" s="1"/>
  <c r="P429" i="4"/>
  <c r="R429" i="4" s="1"/>
  <c r="T429" i="4" s="1"/>
  <c r="Q429" i="4"/>
  <c r="S429" i="4" s="1"/>
  <c r="P430" i="4"/>
  <c r="R430" i="4" s="1"/>
  <c r="T430" i="4" s="1"/>
  <c r="Q430" i="4"/>
  <c r="S430" i="4" s="1"/>
  <c r="P431" i="4"/>
  <c r="R431" i="4" s="1"/>
  <c r="T431" i="4" s="1"/>
  <c r="Q431" i="4"/>
  <c r="S431" i="4" s="1"/>
  <c r="P432" i="4"/>
  <c r="R432" i="4" s="1"/>
  <c r="T432" i="4" s="1"/>
  <c r="Q432" i="4"/>
  <c r="S432" i="4" s="1"/>
  <c r="P433" i="4"/>
  <c r="R433" i="4" s="1"/>
  <c r="T433" i="4" s="1"/>
  <c r="Q433" i="4"/>
  <c r="S433" i="4" s="1"/>
  <c r="P434" i="4"/>
  <c r="R434" i="4" s="1"/>
  <c r="T434" i="4" s="1"/>
  <c r="Q434" i="4"/>
  <c r="S434" i="4" s="1"/>
  <c r="P435" i="4"/>
  <c r="R435" i="4" s="1"/>
  <c r="T435" i="4" s="1"/>
  <c r="Q435" i="4"/>
  <c r="S435" i="4" s="1"/>
  <c r="P436" i="4"/>
  <c r="R436" i="4" s="1"/>
  <c r="T436" i="4" s="1"/>
  <c r="Q436" i="4"/>
  <c r="S436" i="4" s="1"/>
  <c r="P437" i="4"/>
  <c r="R437" i="4" s="1"/>
  <c r="T437" i="4" s="1"/>
  <c r="Q437" i="4"/>
  <c r="S437" i="4" s="1"/>
  <c r="P438" i="4"/>
  <c r="R438" i="4" s="1"/>
  <c r="T438" i="4" s="1"/>
  <c r="Q438" i="4"/>
  <c r="S438" i="4" s="1"/>
  <c r="Q65" i="4" l="1"/>
  <c r="S65" i="4" s="1"/>
  <c r="P65" i="4"/>
  <c r="R65" i="4" s="1"/>
  <c r="T65" i="4" s="1"/>
  <c r="Q64" i="4"/>
  <c r="S64" i="4" s="1"/>
  <c r="P64" i="4"/>
  <c r="R64" i="4" s="1"/>
  <c r="T64" i="4" s="1"/>
  <c r="Q55" i="4"/>
  <c r="S55" i="4" s="1"/>
  <c r="P55" i="4"/>
  <c r="R55" i="4" s="1"/>
  <c r="T55" i="4" s="1"/>
  <c r="Q57" i="4"/>
  <c r="S57" i="4" s="1"/>
  <c r="P57" i="4"/>
  <c r="R57" i="4" s="1"/>
  <c r="T57" i="4" s="1"/>
  <c r="Q56" i="4"/>
  <c r="S56" i="4" s="1"/>
  <c r="P56" i="4"/>
  <c r="R56" i="4" s="1"/>
  <c r="T56" i="4" s="1"/>
  <c r="Q54" i="4"/>
  <c r="S54" i="4" s="1"/>
  <c r="P54" i="4"/>
  <c r="R54" i="4" s="1"/>
  <c r="T54" i="4" s="1"/>
  <c r="Q53" i="4"/>
  <c r="S53" i="4" s="1"/>
  <c r="P53" i="4"/>
  <c r="R53" i="4" s="1"/>
  <c r="T53" i="4" s="1"/>
  <c r="Q52" i="4"/>
  <c r="S52" i="4" s="1"/>
  <c r="P52" i="4"/>
  <c r="R52" i="4" s="1"/>
  <c r="T52" i="4" s="1"/>
  <c r="Q51" i="4"/>
  <c r="S51" i="4" s="1"/>
  <c r="P51" i="4"/>
  <c r="R51" i="4" s="1"/>
  <c r="T51" i="4" s="1"/>
  <c r="Q50" i="4"/>
  <c r="S50" i="4" s="1"/>
  <c r="P50" i="4"/>
  <c r="R50" i="4" s="1"/>
  <c r="T50" i="4" s="1"/>
  <c r="Q49" i="4"/>
  <c r="S49" i="4" s="1"/>
  <c r="P49" i="4"/>
  <c r="R49" i="4" s="1"/>
  <c r="T49" i="4" s="1"/>
  <c r="Q48" i="4"/>
  <c r="S48" i="4" s="1"/>
  <c r="P48" i="4"/>
  <c r="R48" i="4" s="1"/>
  <c r="T48" i="4" s="1"/>
  <c r="Q9" i="4"/>
  <c r="S9" i="4" s="1"/>
  <c r="P9" i="4"/>
  <c r="R9" i="4" s="1"/>
  <c r="T9" i="4" s="1"/>
  <c r="Q2" i="4"/>
  <c r="S2" i="4" s="1"/>
  <c r="P2" i="4"/>
  <c r="R2" i="4" s="1"/>
  <c r="T2" i="4" s="1"/>
  <c r="P331" i="4" l="1"/>
  <c r="R331" i="4" s="1"/>
  <c r="T331" i="4" s="1"/>
  <c r="Q331" i="4"/>
  <c r="S331" i="4" s="1"/>
  <c r="P332" i="4"/>
  <c r="R332" i="4" s="1"/>
  <c r="T332" i="4" s="1"/>
  <c r="Q332" i="4"/>
  <c r="S332" i="4" s="1"/>
  <c r="P333" i="4"/>
  <c r="R333" i="4" s="1"/>
  <c r="T333" i="4" s="1"/>
  <c r="Q333" i="4"/>
  <c r="S333" i="4" s="1"/>
  <c r="P334" i="4"/>
  <c r="R334" i="4" s="1"/>
  <c r="T334" i="4" s="1"/>
  <c r="Q334" i="4"/>
  <c r="S334" i="4" s="1"/>
  <c r="P335" i="4"/>
  <c r="R335" i="4" s="1"/>
  <c r="T335" i="4" s="1"/>
  <c r="Q335" i="4"/>
  <c r="S335" i="4" s="1"/>
  <c r="P336" i="4"/>
  <c r="R336" i="4" s="1"/>
  <c r="T336" i="4" s="1"/>
  <c r="Q336" i="4"/>
  <c r="S336" i="4" s="1"/>
  <c r="P337" i="4"/>
  <c r="R337" i="4" s="1"/>
  <c r="T337" i="4" s="1"/>
  <c r="Q337" i="4"/>
  <c r="S337" i="4" s="1"/>
  <c r="P338" i="4"/>
  <c r="R338" i="4" s="1"/>
  <c r="T338" i="4" s="1"/>
  <c r="Q338" i="4"/>
  <c r="S338" i="4" s="1"/>
  <c r="P339" i="4"/>
  <c r="R339" i="4" s="1"/>
  <c r="T339" i="4" s="1"/>
  <c r="Q339" i="4"/>
  <c r="S339" i="4" s="1"/>
  <c r="P340" i="4"/>
  <c r="R340" i="4" s="1"/>
  <c r="T340" i="4" s="1"/>
  <c r="Q340" i="4"/>
  <c r="S340" i="4" s="1"/>
  <c r="P341" i="4"/>
  <c r="R341" i="4" s="1"/>
  <c r="T341" i="4" s="1"/>
  <c r="Q341" i="4"/>
  <c r="S341" i="4" s="1"/>
  <c r="P342" i="4"/>
  <c r="R342" i="4" s="1"/>
  <c r="T342" i="4" s="1"/>
  <c r="Q342" i="4"/>
  <c r="S342" i="4" s="1"/>
  <c r="P343" i="4"/>
  <c r="R343" i="4" s="1"/>
  <c r="T343" i="4" s="1"/>
  <c r="Q343" i="4"/>
  <c r="S343" i="4" s="1"/>
  <c r="P344" i="4"/>
  <c r="R344" i="4" s="1"/>
  <c r="T344" i="4" s="1"/>
  <c r="Q344" i="4"/>
  <c r="S344" i="4" s="1"/>
  <c r="P345" i="4"/>
  <c r="R345" i="4" s="1"/>
  <c r="T345" i="4" s="1"/>
  <c r="Q345" i="4"/>
  <c r="S345" i="4" s="1"/>
  <c r="P346" i="4"/>
  <c r="R346" i="4" s="1"/>
  <c r="T346" i="4" s="1"/>
  <c r="Q346" i="4"/>
  <c r="S346" i="4" s="1"/>
  <c r="P347" i="4"/>
  <c r="R347" i="4" s="1"/>
  <c r="T347" i="4" s="1"/>
  <c r="Q347" i="4"/>
  <c r="S347" i="4" s="1"/>
  <c r="P348" i="4"/>
  <c r="R348" i="4" s="1"/>
  <c r="T348" i="4" s="1"/>
  <c r="Q348" i="4"/>
  <c r="S348" i="4" s="1"/>
  <c r="P349" i="4"/>
  <c r="R349" i="4" s="1"/>
  <c r="T349" i="4" s="1"/>
  <c r="Q349" i="4"/>
  <c r="S349" i="4" s="1"/>
  <c r="P350" i="4"/>
  <c r="R350" i="4" s="1"/>
  <c r="T350" i="4" s="1"/>
  <c r="Q350" i="4"/>
  <c r="S350" i="4" s="1"/>
  <c r="P351" i="4"/>
  <c r="R351" i="4" s="1"/>
  <c r="T351" i="4" s="1"/>
  <c r="Q351" i="4"/>
  <c r="S351" i="4" s="1"/>
  <c r="P352" i="4"/>
  <c r="R352" i="4" s="1"/>
  <c r="T352" i="4" s="1"/>
  <c r="Q352" i="4"/>
  <c r="S352" i="4" s="1"/>
  <c r="P353" i="4"/>
  <c r="R353" i="4" s="1"/>
  <c r="T353" i="4" s="1"/>
  <c r="Q353" i="4"/>
  <c r="S353" i="4" s="1"/>
  <c r="P354" i="4"/>
  <c r="R354" i="4" s="1"/>
  <c r="T354" i="4" s="1"/>
  <c r="Q354" i="4"/>
  <c r="S354" i="4" s="1"/>
  <c r="P355" i="4"/>
  <c r="R355" i="4" s="1"/>
  <c r="T355" i="4" s="1"/>
  <c r="Q355" i="4"/>
  <c r="S355" i="4" s="1"/>
  <c r="P356" i="4"/>
  <c r="R356" i="4" s="1"/>
  <c r="T356" i="4" s="1"/>
  <c r="Q356" i="4"/>
  <c r="S356" i="4" s="1"/>
  <c r="P357" i="4"/>
  <c r="R357" i="4" s="1"/>
  <c r="T357" i="4" s="1"/>
  <c r="Q357" i="4"/>
  <c r="S357" i="4" s="1"/>
  <c r="P358" i="4"/>
  <c r="R358" i="4" s="1"/>
  <c r="T358" i="4" s="1"/>
  <c r="Q358" i="4"/>
  <c r="S358" i="4" s="1"/>
  <c r="P359" i="4"/>
  <c r="R359" i="4" s="1"/>
  <c r="T359" i="4" s="1"/>
  <c r="Q359" i="4"/>
  <c r="S359" i="4" s="1"/>
  <c r="P360" i="4"/>
  <c r="R360" i="4" s="1"/>
  <c r="T360" i="4" s="1"/>
  <c r="Q360" i="4"/>
  <c r="S360" i="4" s="1"/>
  <c r="P361" i="4"/>
  <c r="R361" i="4" s="1"/>
  <c r="T361" i="4" s="1"/>
  <c r="Q361" i="4"/>
  <c r="S361" i="4" s="1"/>
  <c r="P362" i="4"/>
  <c r="R362" i="4" s="1"/>
  <c r="T362" i="4" s="1"/>
  <c r="Q362" i="4"/>
  <c r="S362" i="4" s="1"/>
  <c r="P363" i="4"/>
  <c r="R363" i="4" s="1"/>
  <c r="T363" i="4" s="1"/>
  <c r="Q363" i="4"/>
  <c r="S363" i="4" s="1"/>
  <c r="P364" i="4"/>
  <c r="R364" i="4" s="1"/>
  <c r="T364" i="4" s="1"/>
  <c r="Q364" i="4"/>
  <c r="S364" i="4" s="1"/>
  <c r="P365" i="4"/>
  <c r="R365" i="4" s="1"/>
  <c r="T365" i="4" s="1"/>
  <c r="Q365" i="4"/>
  <c r="S365" i="4" s="1"/>
  <c r="P366" i="4"/>
  <c r="R366" i="4" s="1"/>
  <c r="T366" i="4" s="1"/>
  <c r="Q366" i="4"/>
  <c r="S366" i="4" s="1"/>
  <c r="P367" i="4"/>
  <c r="R367" i="4" s="1"/>
  <c r="T367" i="4" s="1"/>
  <c r="Q367" i="4"/>
  <c r="S367" i="4" s="1"/>
  <c r="P368" i="4"/>
  <c r="R368" i="4" s="1"/>
  <c r="T368" i="4" s="1"/>
  <c r="Q368" i="4"/>
  <c r="S368" i="4" s="1"/>
  <c r="P369" i="4"/>
  <c r="R369" i="4" s="1"/>
  <c r="T369" i="4" s="1"/>
  <c r="Q369" i="4"/>
  <c r="S369" i="4" s="1"/>
  <c r="P370" i="4"/>
  <c r="R370" i="4" s="1"/>
  <c r="T370" i="4" s="1"/>
  <c r="Q370" i="4"/>
  <c r="S370" i="4" s="1"/>
  <c r="P371" i="4"/>
  <c r="R371" i="4" s="1"/>
  <c r="T371" i="4" s="1"/>
  <c r="Q371" i="4"/>
  <c r="S371" i="4" s="1"/>
  <c r="P372" i="4"/>
  <c r="R372" i="4" s="1"/>
  <c r="T372" i="4" s="1"/>
  <c r="Q372" i="4"/>
  <c r="S372" i="4" s="1"/>
  <c r="P373" i="4"/>
  <c r="R373" i="4" s="1"/>
  <c r="T373" i="4" s="1"/>
  <c r="Q373" i="4"/>
  <c r="S373" i="4" s="1"/>
  <c r="P374" i="4"/>
  <c r="R374" i="4" s="1"/>
  <c r="T374" i="4" s="1"/>
  <c r="Q374" i="4"/>
  <c r="S374" i="4" s="1"/>
  <c r="P375" i="4"/>
  <c r="R375" i="4" s="1"/>
  <c r="T375" i="4" s="1"/>
  <c r="Q375" i="4"/>
  <c r="S375" i="4" s="1"/>
  <c r="P376" i="4"/>
  <c r="R376" i="4" s="1"/>
  <c r="T376" i="4" s="1"/>
  <c r="Q376" i="4"/>
  <c r="S376" i="4" s="1"/>
  <c r="P377" i="4"/>
  <c r="R377" i="4" s="1"/>
  <c r="T377" i="4" s="1"/>
  <c r="Q377" i="4"/>
  <c r="S377" i="4" s="1"/>
  <c r="P378" i="4"/>
  <c r="R378" i="4" s="1"/>
  <c r="T378" i="4" s="1"/>
  <c r="Q378" i="4"/>
  <c r="S378" i="4" s="1"/>
  <c r="P379" i="4"/>
  <c r="R379" i="4" s="1"/>
  <c r="T379" i="4" s="1"/>
  <c r="Q379" i="4"/>
  <c r="S379" i="4" s="1"/>
  <c r="P380" i="4"/>
  <c r="R380" i="4" s="1"/>
  <c r="T380" i="4" s="1"/>
  <c r="Q380" i="4"/>
  <c r="S380" i="4" s="1"/>
  <c r="P381" i="4"/>
  <c r="R381" i="4" s="1"/>
  <c r="T381" i="4" s="1"/>
  <c r="Q381" i="4"/>
  <c r="S381" i="4" s="1"/>
  <c r="P382" i="4"/>
  <c r="R382" i="4" s="1"/>
  <c r="T382" i="4" s="1"/>
  <c r="Q382" i="4"/>
  <c r="S382" i="4" s="1"/>
  <c r="P383" i="4"/>
  <c r="R383" i="4" s="1"/>
  <c r="T383" i="4" s="1"/>
  <c r="Q383" i="4"/>
  <c r="S383" i="4" s="1"/>
  <c r="P384" i="4"/>
  <c r="R384" i="4" s="1"/>
  <c r="T384" i="4" s="1"/>
  <c r="Q384" i="4"/>
  <c r="S384" i="4" s="1"/>
  <c r="P385" i="4"/>
  <c r="R385" i="4" s="1"/>
  <c r="T385" i="4" s="1"/>
  <c r="Q385" i="4"/>
  <c r="S385" i="4" s="1"/>
  <c r="P386" i="4"/>
  <c r="R386" i="4" s="1"/>
  <c r="T386" i="4" s="1"/>
  <c r="Q386" i="4"/>
  <c r="S386" i="4" s="1"/>
  <c r="P387" i="4"/>
  <c r="R387" i="4" s="1"/>
  <c r="T387" i="4" s="1"/>
  <c r="Q387" i="4"/>
  <c r="S387" i="4" s="1"/>
  <c r="P388" i="4"/>
  <c r="R388" i="4" s="1"/>
  <c r="T388" i="4" s="1"/>
  <c r="Q388" i="4"/>
  <c r="S388" i="4" s="1"/>
  <c r="P389" i="4"/>
  <c r="R389" i="4" s="1"/>
  <c r="T389" i="4" s="1"/>
  <c r="Q389" i="4"/>
  <c r="S389" i="4" s="1"/>
  <c r="Q293" i="4" l="1"/>
  <c r="S293" i="4" s="1"/>
  <c r="P293" i="4"/>
  <c r="R293" i="4" s="1"/>
  <c r="T293" i="4" s="1"/>
  <c r="Q262" i="4"/>
  <c r="S262" i="4" s="1"/>
  <c r="P262" i="4"/>
  <c r="R262" i="4" s="1"/>
  <c r="T262" i="4" s="1"/>
  <c r="Q261" i="4"/>
  <c r="S261" i="4" s="1"/>
  <c r="P261" i="4"/>
  <c r="R261" i="4" s="1"/>
  <c r="T261" i="4" s="1"/>
  <c r="S260" i="4"/>
  <c r="T260" i="4"/>
  <c r="Q259" i="4"/>
  <c r="S259" i="4" s="1"/>
  <c r="P259" i="4"/>
  <c r="R259" i="4" s="1"/>
  <c r="T259" i="4" s="1"/>
  <c r="Q258" i="4"/>
  <c r="S258" i="4" s="1"/>
  <c r="P258" i="4"/>
  <c r="R258" i="4" s="1"/>
  <c r="T258" i="4" s="1"/>
  <c r="Q225" i="4"/>
  <c r="S225" i="4" s="1"/>
  <c r="P225" i="4"/>
  <c r="R225" i="4" s="1"/>
  <c r="T225" i="4" s="1"/>
  <c r="Q224" i="4"/>
  <c r="S224" i="4" s="1"/>
  <c r="P224" i="4"/>
  <c r="R224" i="4" s="1"/>
  <c r="T224" i="4" s="1"/>
  <c r="Q223" i="4"/>
  <c r="S223" i="4" s="1"/>
  <c r="P223" i="4"/>
  <c r="R223" i="4" s="1"/>
  <c r="T223" i="4" s="1"/>
  <c r="Q222" i="4"/>
  <c r="S222" i="4" s="1"/>
  <c r="P222" i="4"/>
  <c r="R222" i="4" s="1"/>
  <c r="T222" i="4" s="1"/>
  <c r="Q221" i="4"/>
  <c r="S221" i="4" s="1"/>
  <c r="P221" i="4"/>
  <c r="R221" i="4" s="1"/>
  <c r="T221" i="4" s="1"/>
  <c r="Q220" i="4"/>
  <c r="S220" i="4" s="1"/>
  <c r="P220" i="4"/>
  <c r="R220" i="4" s="1"/>
  <c r="T220" i="4" s="1"/>
  <c r="Q219" i="4"/>
  <c r="S219" i="4" s="1"/>
  <c r="P219" i="4"/>
  <c r="R219" i="4" s="1"/>
  <c r="T219" i="4" s="1"/>
  <c r="Q218" i="4"/>
  <c r="S218" i="4" s="1"/>
  <c r="P218" i="4"/>
  <c r="R218" i="4" s="1"/>
  <c r="T218" i="4" s="1"/>
  <c r="Q217" i="4"/>
  <c r="S217" i="4" s="1"/>
  <c r="P217" i="4"/>
  <c r="R217" i="4" s="1"/>
  <c r="T217" i="4" s="1"/>
  <c r="Q200" i="4"/>
  <c r="S200" i="4" s="1"/>
  <c r="P200" i="4"/>
  <c r="R200" i="4" s="1"/>
  <c r="T200" i="4" s="1"/>
  <c r="Q199" i="4"/>
  <c r="S199" i="4" s="1"/>
  <c r="P199" i="4"/>
  <c r="R199" i="4" s="1"/>
  <c r="T199" i="4" s="1"/>
  <c r="Q198" i="4"/>
  <c r="S198" i="4" s="1"/>
  <c r="P198" i="4"/>
  <c r="R198" i="4" s="1"/>
  <c r="T198" i="4" s="1"/>
  <c r="Q197" i="4"/>
  <c r="S197" i="4" s="1"/>
  <c r="P197" i="4"/>
  <c r="R197" i="4" s="1"/>
  <c r="T197" i="4" s="1"/>
  <c r="Q164" i="4"/>
  <c r="S164" i="4" s="1"/>
  <c r="P164" i="4"/>
  <c r="R164" i="4" s="1"/>
  <c r="T164" i="4" s="1"/>
  <c r="Q163" i="4"/>
  <c r="S163" i="4" s="1"/>
  <c r="P163" i="4"/>
  <c r="R163" i="4" s="1"/>
  <c r="T163" i="4" s="1"/>
  <c r="Q162" i="4"/>
  <c r="S162" i="4" s="1"/>
  <c r="P162" i="4"/>
  <c r="R162" i="4" s="1"/>
  <c r="T162" i="4" s="1"/>
  <c r="Q149" i="4"/>
  <c r="S149" i="4" s="1"/>
  <c r="P149" i="4"/>
  <c r="R149" i="4" s="1"/>
  <c r="T149" i="4" s="1"/>
  <c r="Q148" i="4"/>
  <c r="S148" i="4" s="1"/>
  <c r="P148" i="4"/>
  <c r="R148" i="4" s="1"/>
  <c r="T148" i="4" s="1"/>
  <c r="Q147" i="4"/>
  <c r="S147" i="4" s="1"/>
  <c r="P147" i="4"/>
  <c r="R147" i="4" s="1"/>
  <c r="T147" i="4" s="1"/>
  <c r="Q146" i="4"/>
  <c r="S146" i="4" s="1"/>
  <c r="P146" i="4"/>
  <c r="R146" i="4" s="1"/>
  <c r="T146" i="4" s="1"/>
  <c r="Q145" i="4"/>
  <c r="S145" i="4" s="1"/>
  <c r="P145" i="4"/>
  <c r="R145" i="4" s="1"/>
  <c r="T145" i="4" s="1"/>
  <c r="Q129" i="4"/>
  <c r="S129" i="4" s="1"/>
  <c r="P129" i="4"/>
  <c r="R129" i="4" s="1"/>
  <c r="T129" i="4" s="1"/>
  <c r="Q128" i="4"/>
  <c r="S128" i="4" s="1"/>
  <c r="P128" i="4"/>
  <c r="R128" i="4" s="1"/>
  <c r="T128" i="4" s="1"/>
  <c r="Q127" i="4"/>
  <c r="S127" i="4" s="1"/>
  <c r="P127" i="4"/>
  <c r="R127" i="4" s="1"/>
  <c r="T127" i="4" s="1"/>
  <c r="Q126" i="4"/>
  <c r="S126" i="4" s="1"/>
  <c r="P126" i="4"/>
  <c r="R126" i="4" s="1"/>
  <c r="T126" i="4" s="1"/>
  <c r="Q119" i="4"/>
  <c r="S119" i="4" s="1"/>
  <c r="P119" i="4"/>
  <c r="R119" i="4" s="1"/>
  <c r="T119" i="4" s="1"/>
  <c r="Q118" i="4"/>
  <c r="S118" i="4" s="1"/>
  <c r="P118" i="4"/>
  <c r="R118" i="4" s="1"/>
  <c r="T118" i="4" s="1"/>
  <c r="Q117" i="4"/>
  <c r="S117" i="4" s="1"/>
  <c r="P117" i="4"/>
  <c r="R117" i="4" s="1"/>
  <c r="T117" i="4" s="1"/>
  <c r="Q116" i="4"/>
  <c r="S116" i="4" s="1"/>
  <c r="P116" i="4"/>
  <c r="R116" i="4" s="1"/>
  <c r="T116" i="4" s="1"/>
  <c r="Q115" i="4"/>
  <c r="S115" i="4" s="1"/>
  <c r="P115" i="4"/>
  <c r="R115" i="4" s="1"/>
  <c r="T115" i="4" s="1"/>
  <c r="Q114" i="4"/>
  <c r="S114" i="4" s="1"/>
  <c r="P114" i="4"/>
  <c r="R114" i="4" s="1"/>
  <c r="T114" i="4" s="1"/>
  <c r="Q113" i="4"/>
  <c r="S113" i="4" s="1"/>
  <c r="P113" i="4"/>
  <c r="R113" i="4" s="1"/>
  <c r="T113" i="4" s="1"/>
  <c r="Q112" i="4"/>
  <c r="S112" i="4" s="1"/>
  <c r="P112" i="4"/>
  <c r="R112" i="4" s="1"/>
  <c r="T112" i="4" s="1"/>
  <c r="Q111" i="4"/>
  <c r="S111" i="4" s="1"/>
  <c r="P111" i="4"/>
  <c r="R111" i="4" s="1"/>
  <c r="T111" i="4" s="1"/>
  <c r="Q107" i="4"/>
  <c r="S107" i="4" s="1"/>
  <c r="P107" i="4"/>
  <c r="R107" i="4" s="1"/>
  <c r="T107" i="4" s="1"/>
  <c r="Q82" i="4"/>
  <c r="S82" i="4" s="1"/>
  <c r="P82" i="4"/>
  <c r="R82" i="4" s="1"/>
  <c r="T82" i="4" s="1"/>
  <c r="Q81" i="4"/>
  <c r="S81" i="4" s="1"/>
  <c r="P81" i="4"/>
  <c r="R81" i="4" s="1"/>
  <c r="T81" i="4" s="1"/>
  <c r="Q80" i="4"/>
  <c r="S80" i="4" s="1"/>
  <c r="P80" i="4"/>
  <c r="R80" i="4" s="1"/>
  <c r="T80" i="4" s="1"/>
  <c r="Q79" i="4"/>
  <c r="S79" i="4" s="1"/>
  <c r="P79" i="4"/>
  <c r="R79" i="4" s="1"/>
  <c r="T79" i="4" s="1"/>
  <c r="Q78" i="4"/>
  <c r="S78" i="4" s="1"/>
  <c r="P78" i="4"/>
  <c r="R78" i="4" s="1"/>
  <c r="T78" i="4" s="1"/>
  <c r="Q77" i="4"/>
  <c r="S77" i="4" s="1"/>
  <c r="P77" i="4"/>
  <c r="R77" i="4" s="1"/>
  <c r="T77" i="4" s="1"/>
  <c r="Q76" i="4"/>
  <c r="S76" i="4" s="1"/>
  <c r="P76" i="4"/>
  <c r="R76" i="4" s="1"/>
  <c r="T76" i="4" s="1"/>
  <c r="Q75" i="4"/>
  <c r="S75" i="4" s="1"/>
  <c r="P75" i="4"/>
  <c r="R75" i="4" s="1"/>
  <c r="T75" i="4" s="1"/>
  <c r="Q74" i="4"/>
  <c r="S74" i="4" s="1"/>
  <c r="P74" i="4"/>
  <c r="R74" i="4" s="1"/>
  <c r="T74" i="4" s="1"/>
  <c r="Q73" i="4"/>
  <c r="S73" i="4" s="1"/>
  <c r="P73" i="4"/>
  <c r="R73" i="4" s="1"/>
  <c r="T73" i="4" s="1"/>
  <c r="Q72" i="4"/>
  <c r="S72" i="4" s="1"/>
  <c r="P72" i="4"/>
  <c r="R72" i="4" s="1"/>
  <c r="T72" i="4" s="1"/>
  <c r="Q71" i="4"/>
  <c r="S71" i="4" s="1"/>
  <c r="P71" i="4"/>
  <c r="R71" i="4" s="1"/>
  <c r="T71" i="4" s="1"/>
  <c r="Q70" i="4"/>
  <c r="S70" i="4" s="1"/>
  <c r="P70" i="4"/>
  <c r="R70" i="4" s="1"/>
  <c r="T70" i="4" s="1"/>
  <c r="Q60" i="4"/>
  <c r="S60" i="4" s="1"/>
  <c r="P60" i="4"/>
  <c r="R60" i="4" s="1"/>
  <c r="T60" i="4" s="1"/>
  <c r="Q59" i="4"/>
  <c r="S59" i="4" s="1"/>
  <c r="P59" i="4"/>
  <c r="R59" i="4" s="1"/>
  <c r="T59" i="4" s="1"/>
  <c r="Q58" i="4"/>
  <c r="S58" i="4" s="1"/>
  <c r="P58" i="4"/>
  <c r="R58" i="4" s="1"/>
  <c r="T58" i="4" s="1"/>
  <c r="Q43" i="4"/>
  <c r="S43" i="4" s="1"/>
  <c r="P43" i="4"/>
  <c r="R43" i="4" s="1"/>
  <c r="T43" i="4" s="1"/>
  <c r="Q42" i="4"/>
  <c r="S42" i="4" s="1"/>
  <c r="P42" i="4"/>
  <c r="R42" i="4" s="1"/>
  <c r="T42" i="4" s="1"/>
  <c r="Q41" i="4"/>
  <c r="S41" i="4" s="1"/>
  <c r="P41" i="4"/>
  <c r="R41" i="4" s="1"/>
  <c r="T41" i="4" s="1"/>
  <c r="Q40" i="4"/>
  <c r="S40" i="4" s="1"/>
  <c r="P40" i="4"/>
  <c r="R40" i="4" s="1"/>
  <c r="T40" i="4" s="1"/>
  <c r="Q39" i="4"/>
  <c r="S39" i="4" s="1"/>
  <c r="P39" i="4"/>
  <c r="R39" i="4" s="1"/>
  <c r="T39" i="4" s="1"/>
  <c r="Q38" i="4"/>
  <c r="S38" i="4" s="1"/>
  <c r="P38" i="4"/>
  <c r="R38" i="4" s="1"/>
  <c r="T38" i="4" s="1"/>
  <c r="Q37" i="4"/>
  <c r="S37" i="4" s="1"/>
  <c r="P37" i="4"/>
  <c r="R37" i="4" s="1"/>
  <c r="T37" i="4" s="1"/>
  <c r="Q36" i="4"/>
  <c r="S36" i="4" s="1"/>
  <c r="P36" i="4"/>
  <c r="R36" i="4" s="1"/>
  <c r="T36" i="4" s="1"/>
  <c r="Q35" i="4"/>
  <c r="S35" i="4" s="1"/>
  <c r="P35" i="4"/>
  <c r="R35" i="4" s="1"/>
  <c r="T35" i="4" s="1"/>
  <c r="Q34" i="4"/>
  <c r="S34" i="4" s="1"/>
  <c r="P34" i="4"/>
  <c r="R34" i="4" s="1"/>
  <c r="T34" i="4" s="1"/>
  <c r="Q33" i="4"/>
  <c r="S33" i="4" s="1"/>
  <c r="P33" i="4"/>
  <c r="R33" i="4" s="1"/>
  <c r="T33" i="4" s="1"/>
  <c r="Q32" i="4"/>
  <c r="S32" i="4" s="1"/>
  <c r="P32" i="4"/>
  <c r="R32" i="4" s="1"/>
  <c r="T32" i="4" s="1"/>
  <c r="Q31" i="4"/>
  <c r="S31" i="4" s="1"/>
  <c r="P31" i="4"/>
  <c r="R31" i="4" s="1"/>
  <c r="T31" i="4" s="1"/>
  <c r="Q30" i="4"/>
  <c r="S30" i="4" s="1"/>
  <c r="P30" i="4"/>
  <c r="R30" i="4" s="1"/>
  <c r="T30" i="4" s="1"/>
  <c r="Q29" i="4"/>
  <c r="S29" i="4" s="1"/>
  <c r="P29" i="4"/>
  <c r="R29" i="4" s="1"/>
  <c r="T29" i="4" s="1"/>
  <c r="Q28" i="4"/>
  <c r="S28" i="4" s="1"/>
  <c r="P28" i="4"/>
  <c r="R28" i="4" s="1"/>
  <c r="T28" i="4" s="1"/>
  <c r="Q27" i="4"/>
  <c r="S27" i="4" s="1"/>
  <c r="P27" i="4"/>
  <c r="R27" i="4" s="1"/>
  <c r="T27" i="4" s="1"/>
  <c r="Q26" i="4"/>
  <c r="S26" i="4" s="1"/>
  <c r="P26" i="4"/>
  <c r="R26" i="4" s="1"/>
  <c r="T26" i="4" s="1"/>
  <c r="Q25" i="4"/>
  <c r="S25" i="4" s="1"/>
  <c r="P25" i="4"/>
  <c r="R25" i="4" s="1"/>
  <c r="T25" i="4" s="1"/>
  <c r="Q24" i="4"/>
  <c r="S24" i="4" s="1"/>
  <c r="P24" i="4"/>
  <c r="R24" i="4" s="1"/>
  <c r="T24" i="4" s="1"/>
  <c r="Q23" i="4"/>
  <c r="S23" i="4" s="1"/>
  <c r="P23" i="4"/>
  <c r="R23" i="4" s="1"/>
  <c r="T23" i="4" s="1"/>
  <c r="Q22" i="4"/>
  <c r="S22" i="4" s="1"/>
  <c r="P22" i="4"/>
  <c r="R22" i="4" s="1"/>
  <c r="T22" i="4" s="1"/>
  <c r="Q21" i="4"/>
  <c r="S21" i="4" s="1"/>
  <c r="P21" i="4"/>
  <c r="R21" i="4" s="1"/>
  <c r="T21" i="4" s="1"/>
  <c r="Q20" i="4"/>
  <c r="S20" i="4" s="1"/>
  <c r="P20" i="4"/>
  <c r="R20" i="4" s="1"/>
  <c r="T20" i="4" s="1"/>
  <c r="Q19" i="4"/>
  <c r="S19" i="4" s="1"/>
  <c r="P19" i="4"/>
  <c r="R19" i="4" s="1"/>
  <c r="T19" i="4" s="1"/>
  <c r="Q18" i="4"/>
  <c r="S18" i="4" s="1"/>
  <c r="P18" i="4"/>
  <c r="R18" i="4" s="1"/>
  <c r="T18" i="4" s="1"/>
  <c r="Q17" i="4"/>
  <c r="S17" i="4" s="1"/>
  <c r="P17" i="4"/>
  <c r="R17" i="4" s="1"/>
  <c r="T17" i="4" s="1"/>
  <c r="Q16" i="4"/>
  <c r="S16" i="4" s="1"/>
  <c r="P16" i="4"/>
  <c r="R16" i="4" s="1"/>
  <c r="T16" i="4" s="1"/>
  <c r="Q15" i="4"/>
  <c r="S15" i="4" s="1"/>
  <c r="P15" i="4"/>
  <c r="R15" i="4" s="1"/>
  <c r="T15" i="4" s="1"/>
  <c r="Q14" i="4"/>
  <c r="S14" i="4" s="1"/>
  <c r="P14" i="4"/>
  <c r="R14" i="4" s="1"/>
  <c r="T14" i="4" s="1"/>
  <c r="Q13" i="4"/>
  <c r="S13" i="4" s="1"/>
  <c r="P13" i="4"/>
  <c r="R13" i="4" s="1"/>
  <c r="T13" i="4" s="1"/>
  <c r="Q12" i="4"/>
  <c r="S12" i="4" s="1"/>
  <c r="P12" i="4"/>
  <c r="R12" i="4" s="1"/>
  <c r="T12" i="4" s="1"/>
  <c r="Q11" i="4"/>
  <c r="S11" i="4" s="1"/>
  <c r="P11" i="4"/>
  <c r="R11" i="4" s="1"/>
  <c r="T11" i="4" s="1"/>
  <c r="Q10" i="4"/>
  <c r="S10" i="4" s="1"/>
  <c r="P10" i="4"/>
  <c r="R10" i="4" s="1"/>
  <c r="T10" i="4" s="1"/>
  <c r="Q8" i="4"/>
  <c r="S8" i="4" s="1"/>
  <c r="P8" i="4"/>
  <c r="R8" i="4" s="1"/>
  <c r="T8" i="4" s="1"/>
  <c r="Q7" i="4"/>
  <c r="S7" i="4" s="1"/>
  <c r="P7" i="4"/>
  <c r="R7" i="4" s="1"/>
  <c r="T7" i="4" s="1"/>
  <c r="Q63" i="4"/>
  <c r="S63" i="4" s="1"/>
  <c r="P63" i="4"/>
  <c r="R63" i="4" s="1"/>
  <c r="T63" i="4" s="1"/>
  <c r="Q62" i="4"/>
  <c r="S62" i="4" s="1"/>
  <c r="P62" i="4"/>
  <c r="R62" i="4" s="1"/>
  <c r="T62" i="4" s="1"/>
  <c r="Q5" i="4"/>
  <c r="S5" i="4" s="1"/>
  <c r="P5" i="4"/>
  <c r="R5" i="4" s="1"/>
  <c r="T5" i="4" s="1"/>
  <c r="Q4" i="4"/>
  <c r="S4" i="4" s="1"/>
  <c r="P4" i="4"/>
  <c r="R4" i="4" s="1"/>
  <c r="T4" i="4" s="1"/>
  <c r="Q3" i="4"/>
  <c r="S3" i="4" s="1"/>
  <c r="P3" i="4"/>
  <c r="R3" i="4" s="1"/>
  <c r="T3" i="4" s="1"/>
  <c r="Q201" i="4"/>
  <c r="S201" i="4" s="1"/>
  <c r="P150" i="4" l="1"/>
  <c r="R150" i="4" s="1"/>
  <c r="Q264" i="4" l="1"/>
  <c r="S264" i="4" s="1"/>
  <c r="P264" i="4"/>
  <c r="R264" i="4" s="1"/>
  <c r="T264" i="4" s="1"/>
  <c r="Q156" i="4" l="1"/>
  <c r="Q155" i="4"/>
  <c r="P155" i="4"/>
  <c r="R155" i="4" s="1"/>
  <c r="P61" i="4"/>
  <c r="R61" i="4" s="1"/>
  <c r="T61" i="4" s="1"/>
  <c r="P66" i="4"/>
  <c r="R66" i="4" s="1"/>
  <c r="T66" i="4" s="1"/>
  <c r="P67" i="4"/>
  <c r="R67" i="4" s="1"/>
  <c r="T67" i="4" s="1"/>
  <c r="Q61" i="4"/>
  <c r="S61" i="4" s="1"/>
  <c r="Q66" i="4"/>
  <c r="S66" i="4" s="1"/>
  <c r="Q67" i="4"/>
  <c r="S67" i="4" s="1"/>
  <c r="Q6" i="4"/>
  <c r="S6" i="4" s="1"/>
  <c r="P6" i="4"/>
  <c r="R6" i="4" s="1"/>
  <c r="T6" i="4" s="1"/>
  <c r="Q195" i="4"/>
  <c r="Q193" i="4"/>
  <c r="Q194" i="4"/>
  <c r="S194" i="4" s="1"/>
  <c r="Q196" i="4"/>
  <c r="Q202" i="4"/>
  <c r="S202" i="4" s="1"/>
  <c r="Q203" i="4"/>
  <c r="S203" i="4" s="1"/>
  <c r="Q204" i="4"/>
  <c r="S204" i="4" s="1"/>
  <c r="Q205" i="4"/>
  <c r="S205" i="4" s="1"/>
  <c r="Q206" i="4"/>
  <c r="S206" i="4" s="1"/>
  <c r="Q207" i="4"/>
  <c r="S207" i="4" s="1"/>
  <c r="Q208" i="4"/>
  <c r="S208" i="4" s="1"/>
  <c r="Q209" i="4"/>
  <c r="S209" i="4" s="1"/>
  <c r="Q210" i="4"/>
  <c r="S210" i="4" s="1"/>
  <c r="Q211" i="4"/>
  <c r="S211" i="4" s="1"/>
  <c r="Q212" i="4"/>
  <c r="S212" i="4" s="1"/>
  <c r="Q213" i="4"/>
  <c r="S213" i="4" s="1"/>
  <c r="Q214" i="4"/>
  <c r="S214" i="4" s="1"/>
  <c r="Q215" i="4"/>
  <c r="S215" i="4" s="1"/>
  <c r="Q216" i="4"/>
  <c r="S216" i="4" s="1"/>
  <c r="Q226" i="4"/>
  <c r="S226" i="4" s="1"/>
  <c r="Q227" i="4"/>
  <c r="S227" i="4" s="1"/>
  <c r="Q228" i="4"/>
  <c r="S228" i="4" s="1"/>
  <c r="Q229" i="4"/>
  <c r="S229" i="4" s="1"/>
  <c r="Q230" i="4"/>
  <c r="S230" i="4" s="1"/>
  <c r="Q231" i="4"/>
  <c r="S231" i="4" s="1"/>
  <c r="Q232" i="4"/>
  <c r="S232" i="4" s="1"/>
  <c r="Q233" i="4"/>
  <c r="S233" i="4" s="1"/>
  <c r="Q234" i="4"/>
  <c r="S234" i="4" s="1"/>
  <c r="Q235" i="4"/>
  <c r="S235" i="4" s="1"/>
  <c r="Q236" i="4"/>
  <c r="S236" i="4" s="1"/>
  <c r="Q237" i="4"/>
  <c r="S237" i="4" s="1"/>
  <c r="Q238" i="4"/>
  <c r="S238" i="4" s="1"/>
  <c r="Q239" i="4"/>
  <c r="S239" i="4" s="1"/>
  <c r="Q240" i="4"/>
  <c r="S240" i="4" s="1"/>
  <c r="Q241" i="4"/>
  <c r="S241" i="4" s="1"/>
  <c r="Q242" i="4"/>
  <c r="S242" i="4" s="1"/>
  <c r="Q243" i="4"/>
  <c r="S243" i="4" s="1"/>
  <c r="Q244" i="4"/>
  <c r="S244" i="4" s="1"/>
  <c r="Q245" i="4"/>
  <c r="S245" i="4" s="1"/>
  <c r="Q246" i="4"/>
  <c r="S246" i="4" s="1"/>
  <c r="Q247" i="4"/>
  <c r="S247" i="4" s="1"/>
  <c r="Q248" i="4"/>
  <c r="S248" i="4" s="1"/>
  <c r="Q249" i="4"/>
  <c r="S249" i="4" s="1"/>
  <c r="Q250" i="4"/>
  <c r="S250" i="4" s="1"/>
  <c r="Q251" i="4"/>
  <c r="S251" i="4" s="1"/>
  <c r="Q252" i="4"/>
  <c r="S252" i="4" s="1"/>
  <c r="Q253" i="4"/>
  <c r="S253" i="4" s="1"/>
  <c r="Q254" i="4"/>
  <c r="S254" i="4" s="1"/>
  <c r="Q255" i="4"/>
  <c r="S255" i="4" s="1"/>
  <c r="Q256" i="4"/>
  <c r="S256" i="4" s="1"/>
  <c r="Q257" i="4"/>
  <c r="S257" i="4" s="1"/>
  <c r="Q263" i="4"/>
  <c r="S263" i="4" s="1"/>
  <c r="Q265" i="4"/>
  <c r="S265" i="4" s="1"/>
  <c r="Q266" i="4"/>
  <c r="S266" i="4" s="1"/>
  <c r="Q267" i="4"/>
  <c r="S267" i="4" s="1"/>
  <c r="Q268" i="4"/>
  <c r="S268" i="4" s="1"/>
  <c r="Q269" i="4"/>
  <c r="S269" i="4" s="1"/>
  <c r="Q270" i="4"/>
  <c r="S270" i="4" s="1"/>
  <c r="Q271" i="4"/>
  <c r="S271" i="4" s="1"/>
  <c r="Q272" i="4"/>
  <c r="S272" i="4" s="1"/>
  <c r="Q273" i="4"/>
  <c r="S273" i="4" s="1"/>
  <c r="Q274" i="4"/>
  <c r="S274" i="4" s="1"/>
  <c r="Q275" i="4"/>
  <c r="S275" i="4" s="1"/>
  <c r="Q276" i="4"/>
  <c r="S276" i="4" s="1"/>
  <c r="Q277" i="4"/>
  <c r="S277" i="4" s="1"/>
  <c r="Q278" i="4"/>
  <c r="S278" i="4" s="1"/>
  <c r="Q279" i="4"/>
  <c r="S279" i="4" s="1"/>
  <c r="Q280" i="4"/>
  <c r="S280" i="4" s="1"/>
  <c r="Q281" i="4"/>
  <c r="S281" i="4" s="1"/>
  <c r="Q282" i="4"/>
  <c r="S282" i="4" s="1"/>
  <c r="Q283" i="4"/>
  <c r="S283" i="4" s="1"/>
  <c r="Q284" i="4"/>
  <c r="S284" i="4" s="1"/>
  <c r="Q285" i="4"/>
  <c r="S285" i="4" s="1"/>
  <c r="Q286" i="4"/>
  <c r="S286" i="4" s="1"/>
  <c r="Q287" i="4"/>
  <c r="S287" i="4" s="1"/>
  <c r="Q288" i="4"/>
  <c r="S288" i="4" s="1"/>
  <c r="Q289" i="4"/>
  <c r="S289" i="4" s="1"/>
  <c r="Q290" i="4"/>
  <c r="S290" i="4" s="1"/>
  <c r="Q291" i="4"/>
  <c r="S291" i="4" s="1"/>
  <c r="Q292" i="4"/>
  <c r="S292" i="4" s="1"/>
  <c r="Q294" i="4"/>
  <c r="S294" i="4" s="1"/>
  <c r="Q295" i="4"/>
  <c r="S295" i="4" s="1"/>
  <c r="Q296" i="4"/>
  <c r="S296" i="4" s="1"/>
  <c r="Q297" i="4"/>
  <c r="S297" i="4" s="1"/>
  <c r="Q298" i="4"/>
  <c r="S298" i="4" s="1"/>
  <c r="Q299" i="4"/>
  <c r="S299" i="4" s="1"/>
  <c r="Q300" i="4"/>
  <c r="S300" i="4" s="1"/>
  <c r="Q301" i="4"/>
  <c r="S301" i="4" s="1"/>
  <c r="Q302" i="4"/>
  <c r="S302" i="4" s="1"/>
  <c r="Q303" i="4"/>
  <c r="S303" i="4" s="1"/>
  <c r="Q304" i="4"/>
  <c r="S304" i="4" s="1"/>
  <c r="Q305" i="4"/>
  <c r="S305" i="4" s="1"/>
  <c r="Q306" i="4"/>
  <c r="S306" i="4" s="1"/>
  <c r="Q307" i="4"/>
  <c r="S307" i="4" s="1"/>
  <c r="Q308" i="4"/>
  <c r="S308" i="4" s="1"/>
  <c r="Q309" i="4"/>
  <c r="S309" i="4" s="1"/>
  <c r="Q310" i="4"/>
  <c r="S310" i="4" s="1"/>
  <c r="Q311" i="4"/>
  <c r="S311" i="4" s="1"/>
  <c r="Q312" i="4"/>
  <c r="S312" i="4" s="1"/>
  <c r="Q313" i="4"/>
  <c r="S313" i="4" s="1"/>
  <c r="Q314" i="4"/>
  <c r="S314" i="4" s="1"/>
  <c r="Q315" i="4"/>
  <c r="S315" i="4" s="1"/>
  <c r="Q316" i="4"/>
  <c r="S316" i="4" s="1"/>
  <c r="Q317" i="4"/>
  <c r="S317" i="4" s="1"/>
  <c r="Q318" i="4"/>
  <c r="S318" i="4" s="1"/>
  <c r="Q319" i="4"/>
  <c r="S319" i="4" s="1"/>
  <c r="Q320" i="4"/>
  <c r="S320" i="4" s="1"/>
  <c r="Q321" i="4"/>
  <c r="S321" i="4" s="1"/>
  <c r="Q322" i="4"/>
  <c r="S322" i="4" s="1"/>
  <c r="Q323" i="4"/>
  <c r="S323" i="4" s="1"/>
  <c r="Q324" i="4"/>
  <c r="S324" i="4" s="1"/>
  <c r="Q325" i="4"/>
  <c r="S325" i="4" s="1"/>
  <c r="Q326" i="4"/>
  <c r="S326" i="4" s="1"/>
  <c r="Q327" i="4"/>
  <c r="S327" i="4" s="1"/>
  <c r="Q328" i="4"/>
  <c r="S328" i="4" s="1"/>
  <c r="Q329" i="4"/>
  <c r="S329" i="4" s="1"/>
  <c r="Q330" i="4"/>
  <c r="S330" i="4" s="1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57" i="4"/>
  <c r="Q158" i="4"/>
  <c r="Q159" i="4"/>
  <c r="Q160" i="4"/>
  <c r="Q161" i="4"/>
  <c r="Q144" i="4"/>
  <c r="Q150" i="4"/>
  <c r="S150" i="4" s="1"/>
  <c r="Q151" i="4"/>
  <c r="Q152" i="4"/>
  <c r="Q153" i="4"/>
  <c r="Q154" i="4"/>
  <c r="Q66" i="9"/>
  <c r="S66" i="9" s="1"/>
  <c r="P66" i="9"/>
  <c r="R66" i="9" s="1"/>
  <c r="T66" i="9" s="1"/>
  <c r="Q65" i="9"/>
  <c r="S65" i="9" s="1"/>
  <c r="P65" i="9"/>
  <c r="R65" i="9" s="1"/>
  <c r="T65" i="9" s="1"/>
  <c r="Q64" i="9"/>
  <c r="S64" i="9" s="1"/>
  <c r="P64" i="9"/>
  <c r="R64" i="9" s="1"/>
  <c r="T64" i="9" s="1"/>
  <c r="Q63" i="9"/>
  <c r="S63" i="9" s="1"/>
  <c r="P63" i="9"/>
  <c r="R63" i="9" s="1"/>
  <c r="T63" i="9" s="1"/>
  <c r="Q62" i="9"/>
  <c r="S62" i="9" s="1"/>
  <c r="P62" i="9"/>
  <c r="R62" i="9" s="1"/>
  <c r="T62" i="9" s="1"/>
  <c r="Q61" i="9"/>
  <c r="S61" i="9" s="1"/>
  <c r="P61" i="9"/>
  <c r="R61" i="9" s="1"/>
  <c r="T61" i="9" s="1"/>
  <c r="Q60" i="9"/>
  <c r="S60" i="9" s="1"/>
  <c r="P60" i="9"/>
  <c r="R60" i="9" s="1"/>
  <c r="T60" i="9" s="1"/>
  <c r="Q59" i="9"/>
  <c r="S59" i="9" s="1"/>
  <c r="P59" i="9"/>
  <c r="R59" i="9" s="1"/>
  <c r="T59" i="9" s="1"/>
  <c r="Q58" i="9"/>
  <c r="S58" i="9" s="1"/>
  <c r="P58" i="9"/>
  <c r="R58" i="9" s="1"/>
  <c r="T58" i="9" s="1"/>
  <c r="Q57" i="9"/>
  <c r="S57" i="9" s="1"/>
  <c r="P57" i="9"/>
  <c r="R57" i="9" s="1"/>
  <c r="T57" i="9" s="1"/>
  <c r="Q56" i="9"/>
  <c r="S56" i="9" s="1"/>
  <c r="P56" i="9"/>
  <c r="R56" i="9" s="1"/>
  <c r="T56" i="9" s="1"/>
  <c r="Q55" i="9"/>
  <c r="S55" i="9" s="1"/>
  <c r="P55" i="9"/>
  <c r="R55" i="9" s="1"/>
  <c r="T55" i="9" s="1"/>
  <c r="Q54" i="9"/>
  <c r="S54" i="9" s="1"/>
  <c r="P54" i="9"/>
  <c r="R54" i="9" s="1"/>
  <c r="T54" i="9" s="1"/>
  <c r="Q53" i="9"/>
  <c r="S53" i="9" s="1"/>
  <c r="P53" i="9"/>
  <c r="R53" i="9" s="1"/>
  <c r="T53" i="9" s="1"/>
  <c r="Q52" i="9"/>
  <c r="S52" i="9" s="1"/>
  <c r="P52" i="9"/>
  <c r="R52" i="9" s="1"/>
  <c r="T52" i="9" s="1"/>
  <c r="Q51" i="9"/>
  <c r="S51" i="9" s="1"/>
  <c r="P51" i="9"/>
  <c r="R51" i="9" s="1"/>
  <c r="T51" i="9" s="1"/>
  <c r="Q50" i="9"/>
  <c r="S50" i="9" s="1"/>
  <c r="P50" i="9"/>
  <c r="R50" i="9" s="1"/>
  <c r="T50" i="9" s="1"/>
  <c r="Q49" i="9"/>
  <c r="S49" i="9" s="1"/>
  <c r="P49" i="9"/>
  <c r="R49" i="9" s="1"/>
  <c r="T49" i="9" s="1"/>
  <c r="Q48" i="9"/>
  <c r="S48" i="9" s="1"/>
  <c r="P48" i="9"/>
  <c r="R48" i="9" s="1"/>
  <c r="T48" i="9" s="1"/>
  <c r="Q47" i="9"/>
  <c r="S47" i="9" s="1"/>
  <c r="P47" i="9"/>
  <c r="R47" i="9" s="1"/>
  <c r="T47" i="9" s="1"/>
  <c r="Q46" i="9"/>
  <c r="S46" i="9" s="1"/>
  <c r="P46" i="9"/>
  <c r="R46" i="9" s="1"/>
  <c r="T46" i="9" s="1"/>
  <c r="Q45" i="9"/>
  <c r="S45" i="9" s="1"/>
  <c r="P45" i="9"/>
  <c r="R45" i="9" s="1"/>
  <c r="T45" i="9" s="1"/>
  <c r="Q44" i="9"/>
  <c r="S44" i="9" s="1"/>
  <c r="P44" i="9"/>
  <c r="R44" i="9" s="1"/>
  <c r="T44" i="9" s="1"/>
  <c r="Q43" i="9"/>
  <c r="S43" i="9" s="1"/>
  <c r="P43" i="9"/>
  <c r="R43" i="9" s="1"/>
  <c r="T43" i="9" s="1"/>
  <c r="Q42" i="9"/>
  <c r="S42" i="9" s="1"/>
  <c r="P42" i="9"/>
  <c r="R42" i="9" s="1"/>
  <c r="T42" i="9" s="1"/>
  <c r="Q41" i="9"/>
  <c r="S41" i="9" s="1"/>
  <c r="P41" i="9"/>
  <c r="R41" i="9" s="1"/>
  <c r="T41" i="9" s="1"/>
  <c r="Q40" i="9"/>
  <c r="S40" i="9" s="1"/>
  <c r="P40" i="9"/>
  <c r="R40" i="9" s="1"/>
  <c r="T40" i="9" s="1"/>
  <c r="Q39" i="9"/>
  <c r="S39" i="9" s="1"/>
  <c r="P39" i="9"/>
  <c r="R39" i="9" s="1"/>
  <c r="T39" i="9" s="1"/>
  <c r="Q38" i="9"/>
  <c r="S38" i="9" s="1"/>
  <c r="P38" i="9"/>
  <c r="R38" i="9" s="1"/>
  <c r="T38" i="9" s="1"/>
  <c r="Q37" i="9"/>
  <c r="S37" i="9" s="1"/>
  <c r="P37" i="9"/>
  <c r="R37" i="9" s="1"/>
  <c r="T37" i="9" s="1"/>
  <c r="Q36" i="9"/>
  <c r="S36" i="9" s="1"/>
  <c r="P36" i="9"/>
  <c r="R36" i="9" s="1"/>
  <c r="T36" i="9" s="1"/>
  <c r="Q35" i="9"/>
  <c r="S35" i="9" s="1"/>
  <c r="P35" i="9"/>
  <c r="R35" i="9" s="1"/>
  <c r="T35" i="9" s="1"/>
  <c r="Q34" i="9"/>
  <c r="S34" i="9" s="1"/>
  <c r="P34" i="9"/>
  <c r="R34" i="9" s="1"/>
  <c r="T34" i="9" s="1"/>
  <c r="Q33" i="9"/>
  <c r="S33" i="9" s="1"/>
  <c r="P33" i="9"/>
  <c r="R33" i="9" s="1"/>
  <c r="T33" i="9" s="1"/>
  <c r="Q32" i="9"/>
  <c r="S32" i="9" s="1"/>
  <c r="P32" i="9"/>
  <c r="R32" i="9" s="1"/>
  <c r="T32" i="9" s="1"/>
  <c r="Q31" i="9"/>
  <c r="S31" i="9" s="1"/>
  <c r="P31" i="9"/>
  <c r="R31" i="9" s="1"/>
  <c r="T31" i="9" s="1"/>
  <c r="Q30" i="9"/>
  <c r="S30" i="9" s="1"/>
  <c r="P30" i="9"/>
  <c r="R30" i="9" s="1"/>
  <c r="T30" i="9" s="1"/>
  <c r="Q29" i="9"/>
  <c r="S29" i="9" s="1"/>
  <c r="P29" i="9"/>
  <c r="R29" i="9" s="1"/>
  <c r="T29" i="9" s="1"/>
  <c r="Q28" i="9"/>
  <c r="S28" i="9" s="1"/>
  <c r="P28" i="9"/>
  <c r="R28" i="9" s="1"/>
  <c r="T28" i="9" s="1"/>
  <c r="Q27" i="9"/>
  <c r="S27" i="9" s="1"/>
  <c r="P27" i="9"/>
  <c r="R27" i="9" s="1"/>
  <c r="T27" i="9" s="1"/>
  <c r="Q26" i="9"/>
  <c r="S26" i="9" s="1"/>
  <c r="P26" i="9"/>
  <c r="R26" i="9" s="1"/>
  <c r="T26" i="9" s="1"/>
  <c r="Q25" i="9"/>
  <c r="S25" i="9" s="1"/>
  <c r="P25" i="9"/>
  <c r="R25" i="9" s="1"/>
  <c r="T25" i="9" s="1"/>
  <c r="Q24" i="9"/>
  <c r="S24" i="9" s="1"/>
  <c r="P24" i="9"/>
  <c r="R24" i="9" s="1"/>
  <c r="T24" i="9" s="1"/>
  <c r="Q23" i="9"/>
  <c r="S23" i="9" s="1"/>
  <c r="P23" i="9"/>
  <c r="R23" i="9" s="1"/>
  <c r="T23" i="9" s="1"/>
  <c r="Q22" i="9"/>
  <c r="S22" i="9" s="1"/>
  <c r="P22" i="9"/>
  <c r="R22" i="9" s="1"/>
  <c r="T22" i="9" s="1"/>
  <c r="Q21" i="9"/>
  <c r="S21" i="9" s="1"/>
  <c r="P21" i="9"/>
  <c r="R21" i="9" s="1"/>
  <c r="T21" i="9" s="1"/>
  <c r="Q20" i="9"/>
  <c r="S20" i="9" s="1"/>
  <c r="P20" i="9"/>
  <c r="R20" i="9" s="1"/>
  <c r="T20" i="9" s="1"/>
  <c r="Q19" i="9"/>
  <c r="S19" i="9" s="1"/>
  <c r="P19" i="9"/>
  <c r="R19" i="9" s="1"/>
  <c r="T19" i="9" s="1"/>
  <c r="Q18" i="9"/>
  <c r="S18" i="9" s="1"/>
  <c r="P18" i="9"/>
  <c r="R18" i="9" s="1"/>
  <c r="T18" i="9" s="1"/>
  <c r="Q17" i="9"/>
  <c r="S17" i="9" s="1"/>
  <c r="P17" i="9"/>
  <c r="R17" i="9" s="1"/>
  <c r="T17" i="9" s="1"/>
  <c r="Q16" i="9"/>
  <c r="S16" i="9" s="1"/>
  <c r="P16" i="9"/>
  <c r="R16" i="9" s="1"/>
  <c r="T16" i="9" s="1"/>
  <c r="Q15" i="9"/>
  <c r="S15" i="9" s="1"/>
  <c r="P15" i="9"/>
  <c r="R15" i="9" s="1"/>
  <c r="T15" i="9" s="1"/>
  <c r="Q14" i="9"/>
  <c r="S14" i="9" s="1"/>
  <c r="P14" i="9"/>
  <c r="R14" i="9" s="1"/>
  <c r="T14" i="9" s="1"/>
  <c r="Q13" i="9"/>
  <c r="S13" i="9" s="1"/>
  <c r="P13" i="9"/>
  <c r="R13" i="9" s="1"/>
  <c r="T13" i="9" s="1"/>
  <c r="Q12" i="9"/>
  <c r="S12" i="9" s="1"/>
  <c r="P12" i="9"/>
  <c r="R12" i="9" s="1"/>
  <c r="T12" i="9" s="1"/>
  <c r="Q11" i="9"/>
  <c r="S11" i="9" s="1"/>
  <c r="P11" i="9"/>
  <c r="R11" i="9" s="1"/>
  <c r="T11" i="9" s="1"/>
  <c r="Q10" i="9"/>
  <c r="S10" i="9" s="1"/>
  <c r="P10" i="9"/>
  <c r="R10" i="9" s="1"/>
  <c r="T10" i="9" s="1"/>
  <c r="Q9" i="9"/>
  <c r="S9" i="9" s="1"/>
  <c r="P9" i="9"/>
  <c r="R9" i="9" s="1"/>
  <c r="T9" i="9" s="1"/>
  <c r="Q8" i="9"/>
  <c r="S8" i="9" s="1"/>
  <c r="P8" i="9"/>
  <c r="R8" i="9" s="1"/>
  <c r="T8" i="9" s="1"/>
  <c r="Q7" i="9"/>
  <c r="S7" i="9" s="1"/>
  <c r="P7" i="9"/>
  <c r="R7" i="9" s="1"/>
  <c r="T7" i="9" s="1"/>
  <c r="Q6" i="9"/>
  <c r="S6" i="9" s="1"/>
  <c r="P6" i="9"/>
  <c r="R6" i="9" s="1"/>
  <c r="T6" i="9" s="1"/>
  <c r="Q5" i="9"/>
  <c r="S5" i="9" s="1"/>
  <c r="P5" i="9"/>
  <c r="R5" i="9" s="1"/>
  <c r="T5" i="9" s="1"/>
  <c r="Q4" i="9"/>
  <c r="S4" i="9" s="1"/>
  <c r="P4" i="9"/>
  <c r="R4" i="9" s="1"/>
  <c r="T4" i="9" s="1"/>
  <c r="Q3" i="9"/>
  <c r="S3" i="9" s="1"/>
  <c r="P3" i="9"/>
  <c r="R3" i="9" s="1"/>
  <c r="T3" i="9" s="1"/>
  <c r="Q2" i="9"/>
  <c r="S2" i="9" s="1"/>
  <c r="P2" i="9"/>
  <c r="R2" i="9" s="1"/>
  <c r="T2" i="9" s="1"/>
  <c r="P281" i="4"/>
  <c r="R281" i="4" s="1"/>
  <c r="T281" i="4" s="1"/>
  <c r="P282" i="4"/>
  <c r="R282" i="4" s="1"/>
  <c r="T282" i="4" s="1"/>
  <c r="P283" i="4"/>
  <c r="R283" i="4" s="1"/>
  <c r="T283" i="4" s="1"/>
  <c r="P284" i="4"/>
  <c r="R284" i="4" s="1"/>
  <c r="T284" i="4" s="1"/>
  <c r="P285" i="4"/>
  <c r="R285" i="4" s="1"/>
  <c r="T285" i="4" s="1"/>
  <c r="P286" i="4"/>
  <c r="R286" i="4" s="1"/>
  <c r="T286" i="4" s="1"/>
  <c r="P287" i="4"/>
  <c r="R287" i="4" s="1"/>
  <c r="T287" i="4" s="1"/>
  <c r="P288" i="4"/>
  <c r="P289" i="4"/>
  <c r="R289" i="4" s="1"/>
  <c r="T289" i="4" s="1"/>
  <c r="P290" i="4"/>
  <c r="R290" i="4" s="1"/>
  <c r="T290" i="4" s="1"/>
  <c r="P291" i="4"/>
  <c r="R291" i="4" s="1"/>
  <c r="T291" i="4" s="1"/>
  <c r="P292" i="4"/>
  <c r="R292" i="4" s="1"/>
  <c r="T292" i="4" s="1"/>
  <c r="P294" i="4"/>
  <c r="R294" i="4" s="1"/>
  <c r="T294" i="4" s="1"/>
  <c r="P295" i="4"/>
  <c r="R295" i="4" s="1"/>
  <c r="T295" i="4" s="1"/>
  <c r="P296" i="4"/>
  <c r="R296" i="4" s="1"/>
  <c r="T296" i="4" s="1"/>
  <c r="P297" i="4"/>
  <c r="R297" i="4" s="1"/>
  <c r="T297" i="4" s="1"/>
  <c r="P298" i="4"/>
  <c r="R298" i="4" s="1"/>
  <c r="T298" i="4" s="1"/>
  <c r="P299" i="4"/>
  <c r="R299" i="4" s="1"/>
  <c r="T299" i="4" s="1"/>
  <c r="P300" i="4"/>
  <c r="R300" i="4" s="1"/>
  <c r="T300" i="4" s="1"/>
  <c r="P301" i="4"/>
  <c r="R301" i="4" s="1"/>
  <c r="T301" i="4" s="1"/>
  <c r="P302" i="4"/>
  <c r="R302" i="4" s="1"/>
  <c r="T302" i="4" s="1"/>
  <c r="P303" i="4"/>
  <c r="R303" i="4" s="1"/>
  <c r="T303" i="4" s="1"/>
  <c r="P304" i="4"/>
  <c r="R304" i="4" s="1"/>
  <c r="T304" i="4" s="1"/>
  <c r="P305" i="4"/>
  <c r="R305" i="4" s="1"/>
  <c r="T305" i="4" s="1"/>
  <c r="P306" i="4"/>
  <c r="R306" i="4" s="1"/>
  <c r="T306" i="4" s="1"/>
  <c r="P307" i="4"/>
  <c r="R307" i="4" s="1"/>
  <c r="T307" i="4" s="1"/>
  <c r="P308" i="4"/>
  <c r="R308" i="4" s="1"/>
  <c r="T308" i="4" s="1"/>
  <c r="P309" i="4"/>
  <c r="R309" i="4" s="1"/>
  <c r="T309" i="4" s="1"/>
  <c r="P310" i="4"/>
  <c r="R310" i="4" s="1"/>
  <c r="T310" i="4" s="1"/>
  <c r="P311" i="4"/>
  <c r="R311" i="4" s="1"/>
  <c r="T311" i="4" s="1"/>
  <c r="P312" i="4"/>
  <c r="R312" i="4" s="1"/>
  <c r="T312" i="4" s="1"/>
  <c r="P313" i="4"/>
  <c r="R313" i="4" s="1"/>
  <c r="T313" i="4" s="1"/>
  <c r="P314" i="4"/>
  <c r="R314" i="4" s="1"/>
  <c r="T314" i="4" s="1"/>
  <c r="P315" i="4"/>
  <c r="R315" i="4" s="1"/>
  <c r="T315" i="4" s="1"/>
  <c r="P316" i="4"/>
  <c r="R316" i="4" s="1"/>
  <c r="T316" i="4" s="1"/>
  <c r="P317" i="4"/>
  <c r="R317" i="4" s="1"/>
  <c r="T317" i="4" s="1"/>
  <c r="P318" i="4"/>
  <c r="R318" i="4" s="1"/>
  <c r="T318" i="4" s="1"/>
  <c r="P319" i="4"/>
  <c r="R319" i="4" s="1"/>
  <c r="T319" i="4" s="1"/>
  <c r="P320" i="4"/>
  <c r="R320" i="4" s="1"/>
  <c r="T320" i="4" s="1"/>
  <c r="P321" i="4"/>
  <c r="R321" i="4" s="1"/>
  <c r="T321" i="4" s="1"/>
  <c r="P322" i="4"/>
  <c r="R322" i="4" s="1"/>
  <c r="T322" i="4" s="1"/>
  <c r="P323" i="4"/>
  <c r="R323" i="4" s="1"/>
  <c r="T323" i="4" s="1"/>
  <c r="P324" i="4"/>
  <c r="R324" i="4" s="1"/>
  <c r="T324" i="4" s="1"/>
  <c r="P325" i="4"/>
  <c r="R325" i="4" s="1"/>
  <c r="T325" i="4" s="1"/>
  <c r="P326" i="4"/>
  <c r="R326" i="4" s="1"/>
  <c r="T326" i="4" s="1"/>
  <c r="P327" i="4"/>
  <c r="R327" i="4" s="1"/>
  <c r="T327" i="4" s="1"/>
  <c r="P328" i="4"/>
  <c r="R328" i="4" s="1"/>
  <c r="T328" i="4" s="1"/>
  <c r="P329" i="4"/>
  <c r="R329" i="4" s="1"/>
  <c r="T329" i="4" s="1"/>
  <c r="P330" i="4"/>
  <c r="R330" i="4" s="1"/>
  <c r="T330" i="4" s="1"/>
  <c r="P194" i="4"/>
  <c r="R194" i="4" s="1"/>
  <c r="P195" i="4"/>
  <c r="P196" i="4"/>
  <c r="P201" i="4"/>
  <c r="R201" i="4" s="1"/>
  <c r="T201" i="4" s="1"/>
  <c r="P202" i="4"/>
  <c r="R202" i="4" s="1"/>
  <c r="T202" i="4" s="1"/>
  <c r="P203" i="4"/>
  <c r="R203" i="4" s="1"/>
  <c r="T203" i="4" s="1"/>
  <c r="P204" i="4"/>
  <c r="R204" i="4" s="1"/>
  <c r="T204" i="4" s="1"/>
  <c r="P205" i="4"/>
  <c r="R205" i="4" s="1"/>
  <c r="T205" i="4" s="1"/>
  <c r="P206" i="4"/>
  <c r="R206" i="4" s="1"/>
  <c r="T206" i="4" s="1"/>
  <c r="P207" i="4"/>
  <c r="R207" i="4" s="1"/>
  <c r="T207" i="4" s="1"/>
  <c r="P208" i="4"/>
  <c r="R208" i="4" s="1"/>
  <c r="T208" i="4" s="1"/>
  <c r="P209" i="4"/>
  <c r="R209" i="4" s="1"/>
  <c r="T209" i="4" s="1"/>
  <c r="P210" i="4"/>
  <c r="R210" i="4" s="1"/>
  <c r="T210" i="4" s="1"/>
  <c r="P211" i="4"/>
  <c r="R211" i="4" s="1"/>
  <c r="T211" i="4" s="1"/>
  <c r="P212" i="4"/>
  <c r="R212" i="4" s="1"/>
  <c r="T212" i="4" s="1"/>
  <c r="P213" i="4"/>
  <c r="R213" i="4" s="1"/>
  <c r="T213" i="4" s="1"/>
  <c r="P214" i="4"/>
  <c r="R214" i="4" s="1"/>
  <c r="T214" i="4" s="1"/>
  <c r="P215" i="4"/>
  <c r="R215" i="4" s="1"/>
  <c r="T215" i="4" s="1"/>
  <c r="P216" i="4"/>
  <c r="R216" i="4" s="1"/>
  <c r="T216" i="4" s="1"/>
  <c r="P226" i="4"/>
  <c r="R226" i="4" s="1"/>
  <c r="T226" i="4" s="1"/>
  <c r="P227" i="4"/>
  <c r="R227" i="4" s="1"/>
  <c r="T227" i="4" s="1"/>
  <c r="P228" i="4"/>
  <c r="R228" i="4" s="1"/>
  <c r="T228" i="4" s="1"/>
  <c r="P229" i="4"/>
  <c r="R229" i="4" s="1"/>
  <c r="T229" i="4" s="1"/>
  <c r="P230" i="4"/>
  <c r="R230" i="4" s="1"/>
  <c r="T230" i="4" s="1"/>
  <c r="P231" i="4"/>
  <c r="R231" i="4" s="1"/>
  <c r="T231" i="4" s="1"/>
  <c r="P232" i="4"/>
  <c r="R232" i="4" s="1"/>
  <c r="T232" i="4" s="1"/>
  <c r="P233" i="4"/>
  <c r="R233" i="4" s="1"/>
  <c r="T233" i="4" s="1"/>
  <c r="P234" i="4"/>
  <c r="R234" i="4" s="1"/>
  <c r="T234" i="4" s="1"/>
  <c r="P235" i="4"/>
  <c r="R235" i="4" s="1"/>
  <c r="T235" i="4" s="1"/>
  <c r="P236" i="4"/>
  <c r="R236" i="4" s="1"/>
  <c r="T236" i="4" s="1"/>
  <c r="P237" i="4"/>
  <c r="R237" i="4" s="1"/>
  <c r="T237" i="4" s="1"/>
  <c r="P238" i="4"/>
  <c r="R238" i="4" s="1"/>
  <c r="T238" i="4" s="1"/>
  <c r="P239" i="4"/>
  <c r="R239" i="4" s="1"/>
  <c r="T239" i="4" s="1"/>
  <c r="P240" i="4"/>
  <c r="R240" i="4" s="1"/>
  <c r="T240" i="4" s="1"/>
  <c r="P241" i="4"/>
  <c r="R241" i="4" s="1"/>
  <c r="T241" i="4" s="1"/>
  <c r="P242" i="4"/>
  <c r="R242" i="4" s="1"/>
  <c r="T242" i="4" s="1"/>
  <c r="P243" i="4"/>
  <c r="R243" i="4" s="1"/>
  <c r="T243" i="4" s="1"/>
  <c r="P244" i="4"/>
  <c r="R244" i="4" s="1"/>
  <c r="T244" i="4" s="1"/>
  <c r="P245" i="4"/>
  <c r="R245" i="4" s="1"/>
  <c r="T245" i="4" s="1"/>
  <c r="P246" i="4"/>
  <c r="R246" i="4" s="1"/>
  <c r="T246" i="4" s="1"/>
  <c r="P247" i="4"/>
  <c r="R247" i="4" s="1"/>
  <c r="T247" i="4" s="1"/>
  <c r="P248" i="4"/>
  <c r="R248" i="4" s="1"/>
  <c r="T248" i="4" s="1"/>
  <c r="P249" i="4"/>
  <c r="R249" i="4" s="1"/>
  <c r="T249" i="4" s="1"/>
  <c r="P250" i="4"/>
  <c r="R250" i="4" s="1"/>
  <c r="T250" i="4" s="1"/>
  <c r="P251" i="4"/>
  <c r="R251" i="4" s="1"/>
  <c r="T251" i="4" s="1"/>
  <c r="P252" i="4"/>
  <c r="R252" i="4" s="1"/>
  <c r="T252" i="4" s="1"/>
  <c r="P253" i="4"/>
  <c r="R253" i="4" s="1"/>
  <c r="T253" i="4" s="1"/>
  <c r="P254" i="4"/>
  <c r="R254" i="4" s="1"/>
  <c r="T254" i="4" s="1"/>
  <c r="P255" i="4"/>
  <c r="R255" i="4" s="1"/>
  <c r="T255" i="4" s="1"/>
  <c r="P256" i="4"/>
  <c r="R256" i="4" s="1"/>
  <c r="T256" i="4" s="1"/>
  <c r="P257" i="4"/>
  <c r="R257" i="4" s="1"/>
  <c r="T257" i="4" s="1"/>
  <c r="P263" i="4"/>
  <c r="R263" i="4" s="1"/>
  <c r="T263" i="4" s="1"/>
  <c r="P265" i="4"/>
  <c r="R265" i="4" s="1"/>
  <c r="T265" i="4" s="1"/>
  <c r="P266" i="4"/>
  <c r="R266" i="4" s="1"/>
  <c r="T266" i="4" s="1"/>
  <c r="P267" i="4"/>
  <c r="R267" i="4" s="1"/>
  <c r="T267" i="4" s="1"/>
  <c r="P268" i="4"/>
  <c r="R268" i="4" s="1"/>
  <c r="T268" i="4" s="1"/>
  <c r="P269" i="4"/>
  <c r="R269" i="4" s="1"/>
  <c r="T269" i="4" s="1"/>
  <c r="P270" i="4"/>
  <c r="R270" i="4" s="1"/>
  <c r="T270" i="4" s="1"/>
  <c r="P271" i="4"/>
  <c r="R271" i="4" s="1"/>
  <c r="T271" i="4" s="1"/>
  <c r="P272" i="4"/>
  <c r="R272" i="4" s="1"/>
  <c r="T272" i="4" s="1"/>
  <c r="P273" i="4"/>
  <c r="R273" i="4" s="1"/>
  <c r="T273" i="4" s="1"/>
  <c r="P274" i="4"/>
  <c r="R274" i="4" s="1"/>
  <c r="T274" i="4" s="1"/>
  <c r="P275" i="4"/>
  <c r="R275" i="4" s="1"/>
  <c r="T275" i="4" s="1"/>
  <c r="P276" i="4"/>
  <c r="R276" i="4" s="1"/>
  <c r="T276" i="4" s="1"/>
  <c r="P277" i="4"/>
  <c r="R277" i="4" s="1"/>
  <c r="T277" i="4" s="1"/>
  <c r="P278" i="4"/>
  <c r="R278" i="4" s="1"/>
  <c r="T278" i="4" s="1"/>
  <c r="P279" i="4"/>
  <c r="R279" i="4" s="1"/>
  <c r="T279" i="4" s="1"/>
  <c r="P280" i="4"/>
  <c r="R280" i="4" s="1"/>
  <c r="T280" i="4" s="1"/>
  <c r="R288" i="4" l="1"/>
  <c r="T288" i="4" s="1"/>
  <c r="S156" i="4"/>
  <c r="S155" i="4"/>
  <c r="Q130" i="4"/>
  <c r="S130" i="4" s="1"/>
  <c r="Q110" i="4"/>
  <c r="S110" i="4" s="1"/>
  <c r="Q109" i="4"/>
  <c r="S109" i="4" s="1"/>
  <c r="Q68" i="4"/>
  <c r="S68" i="4" s="1"/>
  <c r="S165" i="4"/>
  <c r="P158" i="4" l="1"/>
  <c r="R158" i="4" s="1"/>
  <c r="T158" i="4" s="1"/>
  <c r="S196" i="4"/>
  <c r="S195" i="4"/>
  <c r="S180" i="4"/>
  <c r="S181" i="4"/>
  <c r="S182" i="4"/>
  <c r="S183" i="4"/>
  <c r="S184" i="4"/>
  <c r="S185" i="4"/>
  <c r="S188" i="4"/>
  <c r="S190" i="4"/>
  <c r="P190" i="4"/>
  <c r="S193" i="4" l="1"/>
  <c r="S192" i="4"/>
  <c r="S191" i="4"/>
  <c r="S189" i="4"/>
  <c r="S187" i="4"/>
  <c r="S186" i="4"/>
  <c r="Q131" i="4" l="1"/>
  <c r="S131" i="4" s="1"/>
  <c r="Q143" i="4"/>
  <c r="S143" i="4" s="1"/>
  <c r="Q142" i="4"/>
  <c r="S142" i="4" s="1"/>
  <c r="Q141" i="4"/>
  <c r="S141" i="4" s="1"/>
  <c r="Q140" i="4"/>
  <c r="S140" i="4" s="1"/>
  <c r="Q139" i="4"/>
  <c r="S139" i="4" s="1"/>
  <c r="Q138" i="4"/>
  <c r="S138" i="4" s="1"/>
  <c r="Q137" i="4"/>
  <c r="S137" i="4" s="1"/>
  <c r="Q136" i="4"/>
  <c r="S136" i="4" s="1"/>
  <c r="Q135" i="4"/>
  <c r="S135" i="4" s="1"/>
  <c r="Q134" i="4"/>
  <c r="S134" i="4" s="1"/>
  <c r="Q133" i="4"/>
  <c r="S133" i="4" s="1"/>
  <c r="Q132" i="4"/>
  <c r="S132" i="4" s="1"/>
  <c r="S69" i="4" l="1"/>
  <c r="Q69" i="4"/>
  <c r="P83" i="4" l="1"/>
  <c r="R83" i="4" s="1"/>
  <c r="T83" i="4" s="1"/>
  <c r="Q83" i="4"/>
  <c r="S83" i="4" s="1"/>
  <c r="R196" i="4"/>
  <c r="T196" i="4" s="1"/>
  <c r="R195" i="4"/>
  <c r="T195" i="4" s="1"/>
  <c r="S179" i="4"/>
  <c r="S178" i="4"/>
  <c r="S177" i="4"/>
  <c r="S176" i="4"/>
  <c r="S175" i="4"/>
  <c r="S174" i="4"/>
  <c r="S173" i="4"/>
  <c r="S171" i="4"/>
  <c r="S172" i="4"/>
  <c r="S170" i="4"/>
  <c r="S169" i="4"/>
  <c r="S168" i="4"/>
  <c r="S167" i="4"/>
  <c r="S166" i="4"/>
  <c r="S161" i="4"/>
  <c r="S160" i="4"/>
  <c r="S158" i="4"/>
  <c r="S159" i="4"/>
  <c r="S157" i="4"/>
  <c r="S154" i="4"/>
  <c r="S153" i="4"/>
  <c r="S152" i="4"/>
  <c r="S144" i="4"/>
  <c r="S151" i="4"/>
  <c r="P165" i="4"/>
  <c r="R165" i="4" s="1"/>
  <c r="P161" i="4"/>
  <c r="R161" i="4" s="1"/>
  <c r="P160" i="4"/>
  <c r="R160" i="4" s="1"/>
  <c r="P159" i="4"/>
  <c r="R159" i="4" s="1"/>
  <c r="P157" i="4"/>
  <c r="R157" i="4" s="1"/>
  <c r="P156" i="4"/>
  <c r="R156" i="4" s="1"/>
  <c r="P144" i="4"/>
  <c r="R144" i="4" s="1"/>
  <c r="P130" i="4"/>
  <c r="R130" i="4" s="1"/>
  <c r="P110" i="4"/>
  <c r="R110" i="4" s="1"/>
  <c r="P109" i="4"/>
  <c r="R109" i="4" s="1"/>
  <c r="P68" i="4"/>
  <c r="R68" i="4" l="1"/>
  <c r="T68" i="4" s="1"/>
  <c r="T108" i="4"/>
  <c r="T109" i="4"/>
  <c r="T110" i="4"/>
  <c r="T130" i="4"/>
  <c r="T144" i="4"/>
  <c r="T150" i="4"/>
  <c r="T155" i="4"/>
  <c r="T156" i="4"/>
  <c r="T157" i="4"/>
  <c r="T159" i="4"/>
  <c r="T160" i="4"/>
  <c r="T161" i="4"/>
  <c r="T194" i="4"/>
  <c r="P193" i="4" l="1"/>
  <c r="R193" i="4" s="1"/>
  <c r="T193" i="4" s="1"/>
  <c r="P192" i="4"/>
  <c r="R192" i="4" s="1"/>
  <c r="T192" i="4" s="1"/>
  <c r="P191" i="4"/>
  <c r="R191" i="4" s="1"/>
  <c r="T191" i="4" s="1"/>
  <c r="R190" i="4"/>
  <c r="T190" i="4" s="1"/>
  <c r="P189" i="4"/>
  <c r="R189" i="4" s="1"/>
  <c r="T189" i="4" s="1"/>
  <c r="P180" i="4"/>
  <c r="R180" i="4" s="1"/>
  <c r="T180" i="4" s="1"/>
  <c r="P181" i="4"/>
  <c r="R181" i="4" s="1"/>
  <c r="T181" i="4" s="1"/>
  <c r="P182" i="4"/>
  <c r="R182" i="4" s="1"/>
  <c r="T182" i="4" s="1"/>
  <c r="P183" i="4"/>
  <c r="R183" i="4" s="1"/>
  <c r="T183" i="4" s="1"/>
  <c r="P184" i="4"/>
  <c r="R184" i="4" s="1"/>
  <c r="T184" i="4" s="1"/>
  <c r="P185" i="4"/>
  <c r="R185" i="4" s="1"/>
  <c r="T185" i="4" s="1"/>
  <c r="P186" i="4"/>
  <c r="R186" i="4" s="1"/>
  <c r="T186" i="4" s="1"/>
  <c r="P187" i="4"/>
  <c r="R187" i="4" s="1"/>
  <c r="T187" i="4" s="1"/>
  <c r="P188" i="4"/>
  <c r="R188" i="4" s="1"/>
  <c r="T188" i="4" s="1"/>
  <c r="P179" i="4"/>
  <c r="R179" i="4" s="1"/>
  <c r="T179" i="4" s="1"/>
  <c r="P178" i="4"/>
  <c r="R178" i="4" s="1"/>
  <c r="T178" i="4" s="1"/>
  <c r="P177" i="4"/>
  <c r="R177" i="4" s="1"/>
  <c r="T177" i="4" s="1"/>
  <c r="P176" i="4"/>
  <c r="R176" i="4" s="1"/>
  <c r="T176" i="4" s="1"/>
  <c r="P175" i="4"/>
  <c r="R175" i="4" s="1"/>
  <c r="T175" i="4" s="1"/>
  <c r="P174" i="4"/>
  <c r="R174" i="4" s="1"/>
  <c r="T174" i="4" s="1"/>
  <c r="P173" i="4"/>
  <c r="R173" i="4" s="1"/>
  <c r="T173" i="4" s="1"/>
  <c r="P172" i="4"/>
  <c r="R172" i="4" s="1"/>
  <c r="T172" i="4" s="1"/>
  <c r="P171" i="4"/>
  <c r="R171" i="4" s="1"/>
  <c r="T171" i="4" s="1"/>
  <c r="P170" i="4"/>
  <c r="R170" i="4" s="1"/>
  <c r="T170" i="4" s="1"/>
  <c r="P169" i="4"/>
  <c r="R169" i="4" s="1"/>
  <c r="T169" i="4" s="1"/>
  <c r="P168" i="4"/>
  <c r="R168" i="4" s="1"/>
  <c r="T168" i="4" s="1"/>
  <c r="P167" i="4"/>
  <c r="R167" i="4" s="1"/>
  <c r="T167" i="4" s="1"/>
  <c r="P166" i="4"/>
  <c r="R166" i="4" s="1"/>
  <c r="T166" i="4" s="1"/>
  <c r="T165" i="4"/>
  <c r="P131" i="4"/>
  <c r="P85" i="4"/>
  <c r="R85" i="4" s="1"/>
  <c r="P86" i="4"/>
  <c r="R86" i="4" s="1"/>
  <c r="P87" i="4"/>
  <c r="R87" i="4" s="1"/>
  <c r="P88" i="4"/>
  <c r="R88" i="4" s="1"/>
  <c r="P89" i="4"/>
  <c r="R89" i="4" s="1"/>
  <c r="P90" i="4"/>
  <c r="R90" i="4" s="1"/>
  <c r="P91" i="4"/>
  <c r="R91" i="4" s="1"/>
  <c r="T91" i="4" s="1"/>
  <c r="P92" i="4"/>
  <c r="R92" i="4" s="1"/>
  <c r="T92" i="4" s="1"/>
  <c r="P93" i="4"/>
  <c r="R93" i="4" s="1"/>
  <c r="T93" i="4" s="1"/>
  <c r="P94" i="4"/>
  <c r="R94" i="4" s="1"/>
  <c r="T94" i="4" s="1"/>
  <c r="P84" i="4"/>
  <c r="R84" i="4" s="1"/>
  <c r="R131" i="4" l="1"/>
  <c r="T131" i="4" s="1"/>
  <c r="Q120" i="4"/>
  <c r="S120" i="4" s="1"/>
  <c r="P120" i="4"/>
  <c r="R120" i="4" s="1"/>
  <c r="T120" i="4" s="1"/>
  <c r="Q84" i="4"/>
  <c r="S84" i="4" s="1"/>
  <c r="Q125" i="4"/>
  <c r="S125" i="4" s="1"/>
  <c r="Q124" i="4"/>
  <c r="S124" i="4" s="1"/>
  <c r="Q123" i="4"/>
  <c r="S123" i="4" s="1"/>
  <c r="Q122" i="4"/>
  <c r="S122" i="4" s="1"/>
  <c r="Q121" i="4"/>
  <c r="S121" i="4" s="1"/>
  <c r="Q106" i="4"/>
  <c r="S106" i="4" s="1"/>
  <c r="Q105" i="4"/>
  <c r="S105" i="4" s="1"/>
  <c r="Q104" i="4"/>
  <c r="S104" i="4" s="1"/>
  <c r="Q103" i="4"/>
  <c r="S103" i="4" s="1"/>
  <c r="Q102" i="4"/>
  <c r="S102" i="4" s="1"/>
  <c r="Q101" i="4"/>
  <c r="S101" i="4" s="1"/>
  <c r="Q100" i="4"/>
  <c r="S100" i="4" s="1"/>
  <c r="Q99" i="4"/>
  <c r="S99" i="4" s="1"/>
  <c r="Q98" i="4"/>
  <c r="S98" i="4" s="1"/>
  <c r="Q97" i="4"/>
  <c r="S97" i="4" s="1"/>
  <c r="Q96" i="4"/>
  <c r="S96" i="4" s="1"/>
  <c r="Q95" i="4"/>
  <c r="S95" i="4" s="1"/>
  <c r="Q94" i="4"/>
  <c r="S94" i="4" s="1"/>
  <c r="Q93" i="4"/>
  <c r="S93" i="4" s="1"/>
  <c r="Q92" i="4"/>
  <c r="S92" i="4" s="1"/>
  <c r="Q91" i="4"/>
  <c r="S91" i="4" s="1"/>
  <c r="Q90" i="4"/>
  <c r="S90" i="4" s="1"/>
  <c r="Q89" i="4"/>
  <c r="S89" i="4" s="1"/>
  <c r="Q88" i="4"/>
  <c r="S88" i="4" s="1"/>
  <c r="Q87" i="4"/>
  <c r="S87" i="4" s="1"/>
  <c r="Q86" i="4"/>
  <c r="S86" i="4" s="1"/>
  <c r="Q85" i="4"/>
  <c r="S85" i="4" s="1"/>
  <c r="T84" i="4"/>
  <c r="P154" i="4"/>
  <c r="P153" i="4"/>
  <c r="P152" i="4"/>
  <c r="P151" i="4"/>
  <c r="P143" i="4"/>
  <c r="R143" i="4" s="1"/>
  <c r="T143" i="4" s="1"/>
  <c r="P142" i="4"/>
  <c r="R142" i="4" s="1"/>
  <c r="T142" i="4" s="1"/>
  <c r="P141" i="4"/>
  <c r="R141" i="4" s="1"/>
  <c r="T141" i="4" s="1"/>
  <c r="P140" i="4"/>
  <c r="R140" i="4" s="1"/>
  <c r="T140" i="4" s="1"/>
  <c r="P139" i="4"/>
  <c r="R139" i="4" s="1"/>
  <c r="T139" i="4" s="1"/>
  <c r="P138" i="4"/>
  <c r="R138" i="4" s="1"/>
  <c r="T138" i="4" s="1"/>
  <c r="P137" i="4"/>
  <c r="R137" i="4" s="1"/>
  <c r="T137" i="4" s="1"/>
  <c r="P136" i="4"/>
  <c r="R136" i="4" s="1"/>
  <c r="T136" i="4" s="1"/>
  <c r="P135" i="4"/>
  <c r="R135" i="4" s="1"/>
  <c r="T135" i="4" s="1"/>
  <c r="P134" i="4"/>
  <c r="R134" i="4" s="1"/>
  <c r="T134" i="4" s="1"/>
  <c r="P133" i="4"/>
  <c r="R133" i="4" s="1"/>
  <c r="T133" i="4" s="1"/>
  <c r="P132" i="4"/>
  <c r="R132" i="4" s="1"/>
  <c r="T132" i="4" s="1"/>
  <c r="P125" i="4"/>
  <c r="P124" i="4"/>
  <c r="R124" i="4" s="1"/>
  <c r="T124" i="4" s="1"/>
  <c r="P123" i="4"/>
  <c r="R123" i="4" s="1"/>
  <c r="T123" i="4" s="1"/>
  <c r="P122" i="4"/>
  <c r="R122" i="4" s="1"/>
  <c r="T122" i="4" s="1"/>
  <c r="P121" i="4"/>
  <c r="R121" i="4" s="1"/>
  <c r="T121" i="4" s="1"/>
  <c r="P106" i="4"/>
  <c r="R106" i="4" s="1"/>
  <c r="T106" i="4" s="1"/>
  <c r="P105" i="4"/>
  <c r="R105" i="4" s="1"/>
  <c r="T105" i="4" s="1"/>
  <c r="P104" i="4"/>
  <c r="R104" i="4" s="1"/>
  <c r="T104" i="4" s="1"/>
  <c r="P103" i="4"/>
  <c r="R103" i="4" s="1"/>
  <c r="T103" i="4" s="1"/>
  <c r="P102" i="4"/>
  <c r="R102" i="4" s="1"/>
  <c r="T102" i="4" s="1"/>
  <c r="P101" i="4"/>
  <c r="R101" i="4" s="1"/>
  <c r="T101" i="4" s="1"/>
  <c r="P100" i="4"/>
  <c r="R100" i="4" s="1"/>
  <c r="T100" i="4" s="1"/>
  <c r="P99" i="4"/>
  <c r="R99" i="4" s="1"/>
  <c r="T99" i="4" s="1"/>
  <c r="P98" i="4"/>
  <c r="R98" i="4" s="1"/>
  <c r="T98" i="4" s="1"/>
  <c r="P97" i="4"/>
  <c r="R97" i="4" s="1"/>
  <c r="T97" i="4" s="1"/>
  <c r="P96" i="4"/>
  <c r="R96" i="4" s="1"/>
  <c r="T96" i="4" s="1"/>
  <c r="P95" i="4"/>
  <c r="R95" i="4" s="1"/>
  <c r="T95" i="4" s="1"/>
  <c r="T90" i="4"/>
  <c r="T89" i="4"/>
  <c r="T88" i="4"/>
  <c r="T87" i="4"/>
  <c r="T86" i="4"/>
  <c r="T85" i="4"/>
  <c r="P69" i="4"/>
  <c r="R125" i="4" l="1"/>
  <c r="T125" i="4" s="1"/>
  <c r="R69" i="4"/>
  <c r="T69" i="4" s="1"/>
  <c r="R153" i="4"/>
  <c r="T153" i="4" s="1"/>
  <c r="R154" i="4"/>
  <c r="T154" i="4" s="1"/>
  <c r="R151" i="4"/>
  <c r="T151" i="4" s="1"/>
  <c r="R152" i="4"/>
  <c r="T152" i="4" s="1"/>
</calcChain>
</file>

<file path=xl/sharedStrings.xml><?xml version="1.0" encoding="utf-8"?>
<sst xmlns="http://schemas.openxmlformats.org/spreadsheetml/2006/main" count="4166" uniqueCount="1058">
  <si>
    <t>NO</t>
  </si>
  <si>
    <t>SUPPLIER</t>
  </si>
  <si>
    <t>BL NO</t>
  </si>
  <si>
    <t>CNTNR NO</t>
  </si>
  <si>
    <t>PO NO</t>
  </si>
  <si>
    <t>STATUS</t>
  </si>
  <si>
    <t>ITEMS</t>
  </si>
  <si>
    <t>DELIVERY LOC</t>
  </si>
  <si>
    <t>VESSEL ETA</t>
  </si>
  <si>
    <t>DELIVERED</t>
  </si>
  <si>
    <t>RFC</t>
  </si>
  <si>
    <t>MT RETURN</t>
  </si>
  <si>
    <t>FORWARDING AGENT</t>
  </si>
  <si>
    <t>DEM FREE TIME</t>
  </si>
  <si>
    <t>DET FREE TIME</t>
  </si>
  <si>
    <t>LAST DAY FT DEM</t>
  </si>
  <si>
    <t>LAST DAY FT DET</t>
  </si>
  <si>
    <t>DEM TO PAY / DAYS</t>
  </si>
  <si>
    <t>DET TO PAY / DAYS</t>
  </si>
  <si>
    <t>K1 CHIT STATUS</t>
  </si>
  <si>
    <t>REMARKS</t>
  </si>
  <si>
    <t>GREENSPOT</t>
  </si>
  <si>
    <t>TH260300242</t>
  </si>
  <si>
    <t>JHSU2672990</t>
  </si>
  <si>
    <t>VSOY</t>
  </si>
  <si>
    <t>SG BULOH</t>
  </si>
  <si>
    <t>MULTI-TRANS</t>
  </si>
  <si>
    <t>Paper released 8/5</t>
  </si>
  <si>
    <t xml:space="preserve">GOODMAN FIELDER </t>
  </si>
  <si>
    <t>ACD0887009</t>
  </si>
  <si>
    <t>UETU2228835</t>
  </si>
  <si>
    <t>MF L/FAT UHT MILK 1L</t>
  </si>
  <si>
    <t>SWIFT</t>
  </si>
  <si>
    <t>5/5-NOA rcvd. 7/5-K1 confirmed. Plan deliver 8/5, pending EDO rlse, hold due to outstanding DND payment with CMA. 21/5- Rcvd info the o/s payment is for Bersatu (KK agent), agent not rcvd the invoice from liner. 22/5 until 26/5-solving the issue. 27/5-payment compeleted. 28/5-eDO rlsed. FT 14 days combined</t>
  </si>
  <si>
    <t>ACD0887540</t>
  </si>
  <si>
    <t>SEGU9267804</t>
  </si>
  <si>
    <t>MF WHIPPING CREAM</t>
  </si>
  <si>
    <t>K1 approved 6/5/26</t>
  </si>
  <si>
    <t>ACD0884182</t>
  </si>
  <si>
    <t>TRIU6648483</t>
  </si>
  <si>
    <t>K1 approved 5/5/26, EDO rlsed by Mtrans, pndg payment to CMA, hold EDO, PA rcvd from Bersatu 26/05. FT 14 days combined</t>
  </si>
  <si>
    <t>MARINA PATAYA</t>
  </si>
  <si>
    <t>EGLV050600415692</t>
  </si>
  <si>
    <t>EGSU3663180</t>
  </si>
  <si>
    <t>MARINA TUNA</t>
  </si>
  <si>
    <t>YIHAI KERRY</t>
  </si>
  <si>
    <t>COAU7268210530</t>
  </si>
  <si>
    <t>OOCU1198150</t>
  </si>
  <si>
    <t>WILCON SJ SSTE</t>
  </si>
  <si>
    <t>FFM MALACCA</t>
  </si>
  <si>
    <t>FT 35 days combined</t>
  </si>
  <si>
    <t xml:space="preserve">YIHAI KERRY </t>
  </si>
  <si>
    <t>COAU7268210500</t>
  </si>
  <si>
    <t>TXGU7842797</t>
  </si>
  <si>
    <t>DMH</t>
  </si>
  <si>
    <t>FFM IPOH</t>
  </si>
  <si>
    <t>Pending Maqis &amp; custom approval 8/5. FT 35 days combined</t>
  </si>
  <si>
    <t xml:space="preserve">ARAWANA </t>
  </si>
  <si>
    <t>SDDT202604130001</t>
  </si>
  <si>
    <t>NO CONTAINER</t>
  </si>
  <si>
    <t>SESAME OIL (LCL)</t>
  </si>
  <si>
    <t>Pending OGA approval</t>
  </si>
  <si>
    <t>YIHAI</t>
  </si>
  <si>
    <t>COAU7266576850</t>
  </si>
  <si>
    <t>TIIU2233080</t>
  </si>
  <si>
    <t>DMH 25kg</t>
  </si>
  <si>
    <t>BUKIT RAJA</t>
  </si>
  <si>
    <t>FT 35 days combined. Limited bay &amp; space issue at 3PL whs, delivery need to flw sequence of loading.</t>
  </si>
  <si>
    <t>CSNU2361851</t>
  </si>
  <si>
    <t>TIIU2479746</t>
  </si>
  <si>
    <t>OOCU0874368</t>
  </si>
  <si>
    <t>COAU7266781020</t>
  </si>
  <si>
    <t>CSNU2791987</t>
  </si>
  <si>
    <t>TIIU2185593</t>
  </si>
  <si>
    <t>CSNU2400916</t>
  </si>
  <si>
    <t>CSGU2209794</t>
  </si>
  <si>
    <t>COAU7267057370</t>
  </si>
  <si>
    <t>CSNU2664821</t>
  </si>
  <si>
    <t>CSNU2602820</t>
  </si>
  <si>
    <t>1 damaged bag during unstuffing. FT 35 days combined. Limited bay &amp; space issue at 3PL whs, delivery need to flw sequence of loading.</t>
  </si>
  <si>
    <t>GCXU2430071</t>
  </si>
  <si>
    <t>CSNU2220621</t>
  </si>
  <si>
    <t>Physical goods not tally with COA. FT 35 days combined. Limited bay &amp; space issue at 3PL whs, delivery need to flw sequence of loading.</t>
  </si>
  <si>
    <t>COAU7267235110</t>
  </si>
  <si>
    <t>CSNU2617239</t>
  </si>
  <si>
    <t>CSNU2792545</t>
  </si>
  <si>
    <t>COAU7267235060</t>
  </si>
  <si>
    <t>CSNU2668616</t>
  </si>
  <si>
    <t>Short of paper pallet at 3PL whs. FT 35 days combined. Limited bay &amp; space issue at 3PL whs, delivery need to flw sequence of loading.</t>
  </si>
  <si>
    <t>OOCU1163235</t>
  </si>
  <si>
    <t>COAU7266781060</t>
  </si>
  <si>
    <t>FTAU1933762</t>
  </si>
  <si>
    <t>OOLU0444580</t>
  </si>
  <si>
    <t>CSGU2303054</t>
  </si>
  <si>
    <t>CSNU2195175</t>
  </si>
  <si>
    <t>COAU7267262370</t>
  </si>
  <si>
    <t>OOCU0587840</t>
  </si>
  <si>
    <t>OOLU2397996</t>
  </si>
  <si>
    <t>TLLU2973637</t>
  </si>
  <si>
    <t>CSGU2237327</t>
  </si>
  <si>
    <t>COAU7267447970</t>
  </si>
  <si>
    <t>CSNU2312409</t>
  </si>
  <si>
    <t>K1 approved 29/4/2026, wrongly delivered to Shopee whs i/o BR whs (14/5/26). FT 35 days combined. Limited bay &amp; space issue at 3PL whs, delivery need to flw sequence of loading.</t>
  </si>
  <si>
    <t>TIIU2187256</t>
  </si>
  <si>
    <t>K1 approved 29/4/2026. FT 35 days combined. Limited bay &amp; space issue at 3PL whs, delivery need to flw sequence of loading.</t>
  </si>
  <si>
    <t>BMOU1656124</t>
  </si>
  <si>
    <t>CSNU2384116</t>
  </si>
  <si>
    <t>COAU7267970010</t>
  </si>
  <si>
    <t>OOLU2477052</t>
  </si>
  <si>
    <t>K1 approved 07/05/2026. FT 35 days combined. Limited bay &amp; space issue at 3PL whs, delivery need to flw sequence of loading.</t>
  </si>
  <si>
    <t>OOCU0455778</t>
  </si>
  <si>
    <t>OOCU1124603</t>
  </si>
  <si>
    <t>CSGU2222292</t>
  </si>
  <si>
    <t>COAU9506590400</t>
  </si>
  <si>
    <t>CSGU6269359</t>
  </si>
  <si>
    <t>WILCON</t>
  </si>
  <si>
    <t xml:space="preserve">FT 35 days combined. </t>
  </si>
  <si>
    <t>WILTEX</t>
  </si>
  <si>
    <t xml:space="preserve">IPOH </t>
  </si>
  <si>
    <t>TH260300241</t>
  </si>
  <si>
    <t>CRSU1249437</t>
  </si>
  <si>
    <t>TGCU2169920</t>
  </si>
  <si>
    <t>MTMU2898453</t>
  </si>
  <si>
    <t>CRSU1195433</t>
  </si>
  <si>
    <t>CRSU1232692</t>
  </si>
  <si>
    <t>MTMU2893106</t>
  </si>
  <si>
    <t>SEGU3943481</t>
  </si>
  <si>
    <t>JHUSU2661039</t>
  </si>
  <si>
    <t>MTMU2890025</t>
  </si>
  <si>
    <t>MEDUEZ470372</t>
  </si>
  <si>
    <t>MSMU1873340</t>
  </si>
  <si>
    <t>PRAISE &amp; GNC</t>
  </si>
  <si>
    <t>PULAU INDAH</t>
  </si>
  <si>
    <t>JHSU2674490</t>
  </si>
  <si>
    <t>OOLU2167419540</t>
  </si>
  <si>
    <t>OOLU6457476</t>
  </si>
  <si>
    <t>CHILL SPREAD FROZEN</t>
  </si>
  <si>
    <t>EDO released 21/05</t>
  </si>
  <si>
    <t>COSU6448060350</t>
  </si>
  <si>
    <t>CSNU1739361</t>
  </si>
  <si>
    <t>MF F/CREAM UHT MILK 1L</t>
  </si>
  <si>
    <t xml:space="preserve">15/5-K1 confirmed, </t>
  </si>
  <si>
    <t>CSNU2260882</t>
  </si>
  <si>
    <t>WILMAR</t>
  </si>
  <si>
    <t>COAU7268501100</t>
  </si>
  <si>
    <t>CSLU2359034</t>
  </si>
  <si>
    <t>MSG 50 / 80 MESH</t>
  </si>
  <si>
    <t xml:space="preserve">To pay SST. FT 35 days combined. </t>
  </si>
  <si>
    <t>COAU7268404710</t>
  </si>
  <si>
    <t>CSNU6529218</t>
  </si>
  <si>
    <t>WILCON T201B SSTP</t>
  </si>
  <si>
    <t>OOCU7083306</t>
  </si>
  <si>
    <t>MARINA PATTANI</t>
  </si>
  <si>
    <t>SGZCB26000814</t>
  </si>
  <si>
    <t>TEMU5239919</t>
  </si>
  <si>
    <t>MARINA SARDINES</t>
  </si>
  <si>
    <t>MAQ1032026Y0007995 - Permit approved. 04/06 to 9/06 -  Pending OGA approval. 10/06 - OGA &amp; paper rlsed, ROT sent to haulier --&gt; COMBINE 14 DAYS DND</t>
  </si>
  <si>
    <t>ACD0892245</t>
  </si>
  <si>
    <t>TEMU1746535</t>
  </si>
  <si>
    <t>FT 14 days combined</t>
  </si>
  <si>
    <t>CMAU2308701</t>
  </si>
  <si>
    <t>COSU6445837200</t>
  </si>
  <si>
    <t>CSNU1969148</t>
  </si>
  <si>
    <t>OOCU0877834</t>
  </si>
  <si>
    <t>SGZCB2600087201</t>
  </si>
  <si>
    <t>BMOU1691383</t>
  </si>
  <si>
    <t>MAQ1032026Y0007995. 8/6 - Vessel delay to 11/6. 10/6 - Draft K1 approved. 11/6 - Rev OBL rcvd. Wtg for departure. 17/6 - rcvd original docs by supplier. 22/6 - Pending OGA approval, LOI sent. 25/6 - Pndg OGA approval. FREE TIME DND: COMBINED 14 DAYS</t>
  </si>
  <si>
    <t>TGBU3702747</t>
  </si>
  <si>
    <t>GTD1006682</t>
  </si>
  <si>
    <t>XINU1491928</t>
  </si>
  <si>
    <t>MAQ1032026Y0007995. 8/6 - Vessel delay to 11/6</t>
  </si>
  <si>
    <t>INFTCTPKG2605005</t>
  </si>
  <si>
    <t>SEGU3087045</t>
  </si>
  <si>
    <t>MAQ1032026Y0008002 - Permit approved. 02/06 - Paper approved. 10/06 - OGA &amp; paper rlsed, ROT sent to haulier --&gt; COMBINE 14 DAYS DND</t>
  </si>
  <si>
    <t>COAU7268101550</t>
  </si>
  <si>
    <t>CSGU2339695</t>
  </si>
  <si>
    <t>13/5-mrktg sent docs to agent. SSTE cert sent to agent. 18/5-official inv sent to agent. 25/5-MITI approved. 26/5 - Agent informed wrong HS code, rev c3 rcvd, sent to agent. 27/5-28/8- Weekend. 29/5 - K1 confirmed. 30/5-4/6- No update from agent. 5/6- flw up shipment. 6/6- rcvd K1 chit &amp; started to deliver the cntnr until 8/6. FT 35 days combined. Limited bay &amp; space issue at 3PL whs, delivery need to flw sequence of loading.</t>
  </si>
  <si>
    <t>CSGU2025360</t>
  </si>
  <si>
    <t>CSGU2426315</t>
  </si>
  <si>
    <t>OOCU0965663</t>
  </si>
  <si>
    <t>COAU7268037170</t>
  </si>
  <si>
    <t>CSNU2367037</t>
  </si>
  <si>
    <t>20/5 - K1 - wrong hs code. To flw up closely on delivery. 22/5-supplier will reissue C3 with correct hs code declared with MITI 28/5- Rev C3 letter rcvd, SSTE submitted. 29/5- Rev K1 draft rcvd &amp; confirmed. 10/6 - Req to deliver on 11/6. FT 35 days combined. Limited bay &amp; space issue at 3PL whs, delivery need to flw sequence of loading.</t>
  </si>
  <si>
    <t>CSNU2954775</t>
  </si>
  <si>
    <t>OOLU2480992</t>
  </si>
  <si>
    <t>TIIU2461990</t>
  </si>
  <si>
    <t>COAU7268432080</t>
  </si>
  <si>
    <t>OOCU0972106</t>
  </si>
  <si>
    <t>To pay SST - K1 confirmed 26/5. FT 35 days combined</t>
  </si>
  <si>
    <t>CSNU2790603</t>
  </si>
  <si>
    <t>FTAU2331883</t>
  </si>
  <si>
    <t>OOLU0954449</t>
  </si>
  <si>
    <t>COAU7269020040</t>
  </si>
  <si>
    <t>CSGU6209961</t>
  </si>
  <si>
    <t>CORN STARCH 25kg</t>
  </si>
  <si>
    <t>To pay SST - K1 confirmed 26/5. 8/6 until 9/6- found COA expiry not tally with physical. 10/6 - rev COA rcvd. FT 35 days combined</t>
  </si>
  <si>
    <t>OOLU2167899270</t>
  </si>
  <si>
    <t>OERU4085200</t>
  </si>
  <si>
    <t>8/6 - EDO released, wtg delivery. 11/6 - rcvd issue that cntnr arrived Gold Cold with unplugged point, cargo unstuffed, pending investigation from agent. (OOCL FT calculated after vsl departed/cntnr delivered)</t>
  </si>
  <si>
    <t>TH260300539</t>
  </si>
  <si>
    <t>MTMU2887952</t>
  </si>
  <si>
    <t>4/6 - Paper approved, invoice received. 8/6 - paper released, pndg ROT. ROT rlsed 10/6. [MTT charged 4 days DEM]</t>
  </si>
  <si>
    <t>CRSU1197098</t>
  </si>
  <si>
    <t>4/6 - Paper approved, invoice received. 8/6 - paper released, pndg ROT. ROT rlsed 10/6. [MTT charged 5 days DEM]</t>
  </si>
  <si>
    <t>MTMU2904068</t>
  </si>
  <si>
    <t>SEGU3936380</t>
  </si>
  <si>
    <t>CAIU3564984</t>
  </si>
  <si>
    <t>MTMU2882307</t>
  </si>
  <si>
    <t>SEGU3861465</t>
  </si>
  <si>
    <t>SEGU3923510</t>
  </si>
  <si>
    <t>22/5-K1 approved. 26/5- Pndg NOA from liner. 29/5 until 3/6- Pndg OGA approval. 4/6 - Paper approved, invoice received. 5/6-req Mtrans to make advance payment. 8/6 - paper released, pndg ROT. ROT rlsed 10/6, delivery based on items sequence &amp; loading bay availabiliy. {MTT charged 4 days DEM]</t>
  </si>
  <si>
    <t>JHSU2678474</t>
  </si>
  <si>
    <t>CRSU1185348</t>
  </si>
  <si>
    <t>4/6 - Paper approved, invoice received. 8/6 - paper released, pndg ROT. ROT rlsed 10/6. [MTT charged 3 days DEM]</t>
  </si>
  <si>
    <t>CAIU3078513</t>
  </si>
  <si>
    <t>4/6 - Paper approved, invoice received. 8/6 - paper released, pndg ROT. ROT rlsed 10/6. (MTT charged 4 days DEM).</t>
  </si>
  <si>
    <t>TH260500019</t>
  </si>
  <si>
    <t>CAIU3568830</t>
  </si>
  <si>
    <t>SEGU3932867</t>
  </si>
  <si>
    <t>4/6 - Paper approved, invoice received. 8/6 - paper released, pndg ROT. ROT rlsed 10/6. [MTT charged 6 days DEM]</t>
  </si>
  <si>
    <t>SEGU3923778</t>
  </si>
  <si>
    <t>SEGU1043367</t>
  </si>
  <si>
    <t>CAIU3565065</t>
  </si>
  <si>
    <t>MTMU2902506</t>
  </si>
  <si>
    <t>4/6 - Paper approved, invoice received. 8/6 - paper released, pndg ROT. ROT rlsed 10/6. [MTT charged 8 days DEM, 6 days DET].</t>
  </si>
  <si>
    <t>CRSU1214718</t>
  </si>
  <si>
    <t>4/6 - Paper approved, invoice received. 8/6 - paper released, pndg ROT. ROT rlsed 10/6. [MTT charged 8 days DEM]</t>
  </si>
  <si>
    <t>CAIU6576103</t>
  </si>
  <si>
    <t>4/6 - Paper approved, invoice received. 8/6 - paper released, pndg ROT. ROT rlsed 10/6. {MTT charged 8 days DEM]</t>
  </si>
  <si>
    <t>TGCU2175434</t>
  </si>
  <si>
    <t>4/6 - Paper approved, invoice received. 8/6 - paper released, pndg ROT. ROT rlsed 10/6. [MTT charged 9 days DEM]</t>
  </si>
  <si>
    <t>SEGU3949767</t>
  </si>
  <si>
    <t>MTMU2894946</t>
  </si>
  <si>
    <t>SEKU1616308</t>
  </si>
  <si>
    <t>COAU7267735340</t>
  </si>
  <si>
    <t>OOLU1951399</t>
  </si>
  <si>
    <t>WILCON SJ SSTE 25 KG</t>
  </si>
  <si>
    <t>SITGTXPK601595</t>
  </si>
  <si>
    <t>HPCU2823045</t>
  </si>
  <si>
    <t>VP1000 4X5KG (BOX)</t>
  </si>
  <si>
    <t>MACKESSEN (CUST)</t>
  </si>
  <si>
    <t>To pay SST 5%, import duty 5%. 3/6 - Draft K1 approved. 4/6- custom request for original COA. 5/6 - flw up shipment. 7/6 - paper approved. 8/6 - sst paid, paper approved. Change delivery date from 9/6 to 11/6 due to McKesson only can rcv the goods on that day</t>
  </si>
  <si>
    <t>COAU7269031760</t>
  </si>
  <si>
    <t>CSNU5749394</t>
  </si>
  <si>
    <t>To pay SST 5%, import duty 5%. (FT DND 35 days combined). FT 35 days combined</t>
  </si>
  <si>
    <t>COAU9507234860</t>
  </si>
  <si>
    <t>CSNU8911045</t>
  </si>
  <si>
    <t>To pay SST 5%, import duty 5%. 9/6 - cntnr discharged at port. 11/6 - Agent request to deliver on 12/6 instead of 11/6. (FT DND 35 days combined). FT 35 days combined</t>
  </si>
  <si>
    <t>COAU7269031830</t>
  </si>
  <si>
    <t>OOCU8629259</t>
  </si>
  <si>
    <t>WILCON T201B SSTE 20KG</t>
  </si>
  <si>
    <t>To pay SST 5%, import duty 5%. 25/5-SSTE cert sent. 5/6- K1 approved. FT 35 days combined. Limited bay &amp; space issue at 3PL whs, delivery need to flw sequence of loading.</t>
  </si>
  <si>
    <t>COAU7269019800</t>
  </si>
  <si>
    <t>CSNU2540590</t>
  </si>
  <si>
    <t>28/5 - Pending C3 letter. 12/6 - C3 letter rcvd. 14/6 - SSTE cert sent. 23/6 - K1 approved. FT 35 days combined</t>
  </si>
  <si>
    <t>CSNU2724350</t>
  </si>
  <si>
    <t>CSGU2144820</t>
  </si>
  <si>
    <t>OOCU1035656</t>
  </si>
  <si>
    <t>COAU7269327220</t>
  </si>
  <si>
    <t>CSGU2079849</t>
  </si>
  <si>
    <t>28/5 - Pending C3 letter. 11/6 - Rcvd balance docs from supplier. 12/6 - C3 letter rcvd. 14/6 - SSTE cert sent. FT 35 days combined</t>
  </si>
  <si>
    <t>CSNU2861250</t>
  </si>
  <si>
    <t>FTAU1956855</t>
  </si>
  <si>
    <t>OOLU0978311</t>
  </si>
  <si>
    <t>TH260400325</t>
  </si>
  <si>
    <t>TGCU2174931</t>
  </si>
  <si>
    <t>9/6 - Draft K1 approved. 11/6 ~ 12/6 - Pending OGA rlse. 15/6 - Paper approved, pending upfront payment due to credit limit exceeded. 16/6 - Sent PA to offset payment, upfront SST payment done, EDO rlsed.</t>
  </si>
  <si>
    <t>SEGU3926205</t>
  </si>
  <si>
    <t>CRSU1216217</t>
  </si>
  <si>
    <t>CAIU3569116</t>
  </si>
  <si>
    <t>CRSU1232985</t>
  </si>
  <si>
    <t>TGCU2171510</t>
  </si>
  <si>
    <t>9/6 - Draft K1 approved. 11/6 ~ 12/6 - Pending OGA rlse. 15/6 - Paper approved, pending upfront payment due to credit limit exceeded. 16/6 - Sent PA to offset payment, upfront SST payment done, EDO rlsed [MTT charged 4 days DET].</t>
  </si>
  <si>
    <t>COAU7269019850</t>
  </si>
  <si>
    <t>CSNU2956269</t>
  </si>
  <si>
    <t>28/5 - Pending C3 letter. 12/6 - C3 letter rcvd. 14/6 - SSTE cert sent. FT 35 days combined</t>
  </si>
  <si>
    <t>CSGU2583187</t>
  </si>
  <si>
    <t>OOCU0567926</t>
  </si>
  <si>
    <t>OOLU2394180</t>
  </si>
  <si>
    <t>AEL2029281</t>
  </si>
  <si>
    <t>TTNU8955885</t>
  </si>
  <si>
    <t>SPREADS AND PAMPAS FILLO</t>
  </si>
  <si>
    <t>15/6 - Rcvd NOA from Mtrans. 16/6 - Forward NOA to Swift. 16/6 - Paper submitted. 19/6 - Paper yet approved, causing storage &amp; monitoring charges, checking the reason with agent. FT 14 days combined</t>
  </si>
  <si>
    <t>TH260500318</t>
  </si>
  <si>
    <t>PRSU1625429</t>
  </si>
  <si>
    <t>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</t>
  </si>
  <si>
    <t>SEGU3932872</t>
  </si>
  <si>
    <t>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 [MTT charged 1 day DEM].</t>
  </si>
  <si>
    <t>SEGU3938947</t>
  </si>
  <si>
    <t>MTMU2882082</t>
  </si>
  <si>
    <t>MTMU2915308</t>
  </si>
  <si>
    <t>SEGU3926946</t>
  </si>
  <si>
    <t>MTMU2893560</t>
  </si>
  <si>
    <t>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 Can deliver 1 container only - heavy traffic (Pulau Indah/Port Klang). [MTT charged 2 days DEM].</t>
  </si>
  <si>
    <t>CAIU3569501</t>
  </si>
  <si>
    <t>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 [MTT charged 3 days DEM].</t>
  </si>
  <si>
    <t>SEKU1617768</t>
  </si>
  <si>
    <t>TGCU2173447</t>
  </si>
  <si>
    <t>CAAU2568112</t>
  </si>
  <si>
    <t>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 [MTT charged 3 days DEM]</t>
  </si>
  <si>
    <t>PRSU1585795</t>
  </si>
  <si>
    <t>SEGU3934900</t>
  </si>
  <si>
    <t>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 [MTT charged 5 days DEM].</t>
  </si>
  <si>
    <t>COSU6450681730</t>
  </si>
  <si>
    <t>CSNU1951621</t>
  </si>
  <si>
    <t>COAU7269327650</t>
  </si>
  <si>
    <t>CSGU2835268</t>
  </si>
  <si>
    <t>11/6- rcvd docs, pendg C3 letter for SSTE waiver. 23/6 - sste cert sent. 26/6 - K1 approved. FT 35 days combined</t>
  </si>
  <si>
    <t>CSGU2118863</t>
  </si>
  <si>
    <t>OOCU0422985</t>
  </si>
  <si>
    <t>CSGU2113373</t>
  </si>
  <si>
    <t>COAU7269646590</t>
  </si>
  <si>
    <t>TGBU8872772</t>
  </si>
  <si>
    <t>Wilcon SJ SSTE 25kg</t>
  </si>
  <si>
    <t>11/6- rcvd docs, pendg C3 letter for SSTE waiver. 22/6 - K1 draft pending approval due to wrongly informed agent on qty for exemption. 23/6 - Just confirmed on the qty &amp; informed agent, 24/6-rcvd revised K1 &amp; confirmed.</t>
  </si>
  <si>
    <t>Wilcon T201B SSTP 20kg</t>
  </si>
  <si>
    <t>11/6- rcvd docs, to pay for SST. 22/6 - K1 draft pending approval due to wrongly informed agent on qty for exemption. 23/6 - Just confirmed on the qty &amp; informed agent, 24/6-rcvd revised K1 &amp; confirmed.</t>
  </si>
  <si>
    <t>MEIZAN</t>
  </si>
  <si>
    <t>EGLV235601054179</t>
  </si>
  <si>
    <t>EGSU3434244</t>
  </si>
  <si>
    <t>Meizan Vege Noodles 250g</t>
  </si>
  <si>
    <t>RECEIVED</t>
  </si>
  <si>
    <t>12/6- NOA EGLV rcvd. 16/6 - 26/6: Pending balance docs from supplier. 26/6 -Rcvd COO, pndg HC. 27/6 - Rcvd K1. 30/6 - Informed agent they sent wrong K1. 2/7- still pending HC.03/7 - HC rcvd late evening. 6/7 - sent to agent. March PO.</t>
  </si>
  <si>
    <t>EGHU3889070</t>
  </si>
  <si>
    <t>Meizan Egg Noodles 500g</t>
  </si>
  <si>
    <t>EMCU6214250</t>
  </si>
  <si>
    <t>Meizan Egg Noodles 250g</t>
  </si>
  <si>
    <t>EGSU3734318</t>
  </si>
  <si>
    <t>SGZCB26001015</t>
  </si>
  <si>
    <t>GLDU9666703</t>
  </si>
  <si>
    <t>MAQ1032026Y0010375 - Permit applied 15/6. ETD 27/06. 29/6 - Rcvd ori docs by cust, sent to agent. 2/7- sent rev inv from supplier to agent. 3/7 - rev k1 confirmed. 8/7 until 22/7- pending OGA clearance due to pndg renewal license (no runner to collect on 7/7, runner only available on 10/7, Friday). 10/7 - runner unable to collect, and no runner arranged by HR on that day, rearranged 13/7, OGA still pending, had notified mrktg on this issue). 23/7 - eDO rlsed.</t>
  </si>
  <si>
    <t>TGBU3564695</t>
  </si>
  <si>
    <t>MAQ1032026Y0010375 - Permit applied 15/6. ETD 27/06. 29/6 - Rcvd ori docs by cust, sent to agent. 2/7- sent rev inv from supplier to agent. 3/7 - rev k1 confirmed.</t>
  </si>
  <si>
    <t>YMJAI488370091</t>
  </si>
  <si>
    <t>YMMU1389928</t>
  </si>
  <si>
    <t>MAQ1032026Y0010376 - Permit applied 15/6. 22/6 - LOI sent. 24/6 until 6/7 - Pending OGA. Ori docs rcvd, wtg officer for maqis inspection. 7/7- OGA approved, agent will pay for SST. 8/7-SST advance payment completed, ppr rlsed by customs.</t>
  </si>
  <si>
    <t>YMJAI490593718</t>
  </si>
  <si>
    <t>GAOU2626247</t>
  </si>
  <si>
    <t>Macaroni  400g Chifferi</t>
  </si>
  <si>
    <t>19/6 - Rcvd docs, pending COO &amp; HC --&gt; COMBINE 14 DAYS DND. 22/6- sent docs to agent, still pending COO &amp; HC. 24/6 - K1 confirmed. 26/6 -Rcvd COO, pndg HC. 03/7 - HC rcvd late evening. 6/7 - sent to agent. March PO.</t>
  </si>
  <si>
    <t>TRHU1210021</t>
  </si>
  <si>
    <t>Macaroni 400g Sedani Rigati</t>
  </si>
  <si>
    <t>YMMU1188097</t>
  </si>
  <si>
    <t>Macaroni 300g Fussili</t>
  </si>
  <si>
    <t>YMMU1375210</t>
  </si>
  <si>
    <t>Rice Macaroni 400g Sedani Rigati</t>
  </si>
  <si>
    <t>COAU7269871550</t>
  </si>
  <si>
    <t>CSLU6102701</t>
  </si>
  <si>
    <t>Wilcon SJ SSTE / SSTP 25kg</t>
  </si>
  <si>
    <t>23/6 - sste cert sent. 25/6 - K1 unable to approve, pndg COO. 26/6 - Rcvd COO, sent to agent. 27/6 - rev K1 rcvd. 30/6 - K1 approved. 3/7- Cargo picked up from port 3/7@2341. FT 35 days combined</t>
  </si>
  <si>
    <t>WILPRO</t>
  </si>
  <si>
    <t>COAU7269871770</t>
  </si>
  <si>
    <t>FFAU3142608</t>
  </si>
  <si>
    <t>Wilpro G100 20kg</t>
  </si>
  <si>
    <t>19/6 - FFM to bear SST. 25/6 - K1 approved. FT DND 35 days. FT 35 days combined</t>
  </si>
  <si>
    <t>COAU7269864170</t>
  </si>
  <si>
    <t>TGBU4963940</t>
  </si>
  <si>
    <t>Wiltex 104 20kg / Wilcon SJ 25kg</t>
  </si>
  <si>
    <t>23/6-SSTE cert sent. 26/6-K1 approved. FT 35 days combined</t>
  </si>
  <si>
    <t>TH260500370</t>
  </si>
  <si>
    <t>TGCU2174660</t>
  </si>
  <si>
    <t>V-Soy Original Soymilk Bottle</t>
  </si>
  <si>
    <t>1/7-rcvd docs from supplier. 2/7-sent to agent. 3/7- rcvd K1. 6/7 - K1 confirmed. 7/7 until 9/7-pndg OGA approval.</t>
  </si>
  <si>
    <t>MTMU2888096</t>
  </si>
  <si>
    <t>CAAU2564755</t>
  </si>
  <si>
    <t>1/7-rcvd docs from supplier. 2/7-sent to agent. 3/7- rcvd K1. 6/7 - K1 confirmed. 7/7 until 9/7-pndg OGA approval. MTT charged Dem 1-day only.</t>
  </si>
  <si>
    <t>CAIU3565126</t>
  </si>
  <si>
    <t>1/7-rcvd docs from supplier. 2/7-sent to agent. 3/7- rcvd K1. 6/7 - K1 confirmed. 7/7 until 9/7-pndg OGA approval. MTT charged Dem 2-days only.</t>
  </si>
  <si>
    <t>MTMU2920665</t>
  </si>
  <si>
    <t>V-Soy Multi-Grain Black Cereal Bottle</t>
  </si>
  <si>
    <t>SEGU3865331</t>
  </si>
  <si>
    <t>V-Soy Cocoa Soymilk Bottle</t>
  </si>
  <si>
    <t>TGCU2176451</t>
  </si>
  <si>
    <t>SEGU3913297</t>
  </si>
  <si>
    <t>MTMU2921424</t>
  </si>
  <si>
    <t>V-Soy Multi - Grain No Sugar Added</t>
  </si>
  <si>
    <t>SEGU3929230</t>
  </si>
  <si>
    <t>V-Soy Multi-Grain Soymilk</t>
  </si>
  <si>
    <t>CAIU3583958</t>
  </si>
  <si>
    <t>SEGU3865157</t>
  </si>
  <si>
    <t>V-Soy Multi-Grain Cereal Soymilk</t>
  </si>
  <si>
    <t>CAIU3570740</t>
  </si>
  <si>
    <t>1/7-rcvd docs from supplier. 2/7-sent to agent. 3/7- rcvd K1. 6/7 - K1 confirmed. 7/7 until 9/7-pndg OGA approval. MTT charged Dem 2-days only</t>
  </si>
  <si>
    <t>MTMU2887931</t>
  </si>
  <si>
    <t>CXDU2271527</t>
  </si>
  <si>
    <t>TH260500371</t>
  </si>
  <si>
    <t>TGCU2170664</t>
  </si>
  <si>
    <t>1/7-rcvd docs from supplier. 2/7-sent to agent. 3/7- rcvd K1. 6/7 - K1 confirmed. 7/7 until 9/7-pndg OGA approval. 10/7-eDO rlsed, gate pass sent to haulage end of day, haulage only able to plan delivery starting from 11/7.</t>
  </si>
  <si>
    <t>TGCU2170073</t>
  </si>
  <si>
    <t>MTMU2889533</t>
  </si>
  <si>
    <t>MTMU2900205</t>
  </si>
  <si>
    <t>CAIU3563864</t>
  </si>
  <si>
    <t>CAIU3566586</t>
  </si>
  <si>
    <t>V-Soy Multi-Grain Black Cereal</t>
  </si>
  <si>
    <t>MTMU2913429</t>
  </si>
  <si>
    <t>SEGU3940219</t>
  </si>
  <si>
    <t>SEGU3877287</t>
  </si>
  <si>
    <t>V-Soy Sugar Free Soymilk</t>
  </si>
  <si>
    <t>TH260600047</t>
  </si>
  <si>
    <t>MTMU2897797</t>
  </si>
  <si>
    <t>V-Soy Original Soymilk</t>
  </si>
  <si>
    <t>MTMU2905207</t>
  </si>
  <si>
    <t>CAIU6541072</t>
  </si>
  <si>
    <t>SEGU3937555</t>
  </si>
  <si>
    <t>MTMU2896297</t>
  </si>
  <si>
    <t>SGZCB26001118</t>
  </si>
  <si>
    <t>CAIU6048003</t>
  </si>
  <si>
    <t>(69-0165) 1510002493 (SCS2513521)</t>
  </si>
  <si>
    <t>3/7 - permit applied (MAQ1032026Y0011766). 6/7 - permit approved, sent to supplier. 7/7- rcvd draft BL. 8/7- sent insurance copy to supplier, sent complete shp docs to agent. 27/7 until 29/7- pndg OGA. 30/7 - wtg maqis inspection</t>
  </si>
  <si>
    <t>ACD0901846</t>
  </si>
  <si>
    <t>TRHU1242902</t>
  </si>
  <si>
    <t>MF FULL CREAM UHT MILK 1L</t>
  </si>
  <si>
    <t>7/7-pndg HC from supplier, agent unable to submit Maqis permit. 8/7-rcvd HC, mrktg sent to agent. 22/7- NOA rcvd. 27/7- K1 confirmed. 28/7- maqis hold for inspection. 29/7-Maqis approved &amp; rlsed cntnr, pndg cstms approval. 31/7- ppr approved. 1/8 until 4/8- no update from agent. 6/8-agent informed officer just come back from leave, ppr approved but cannot generate gatepass. 7/8- gatepass sent to haulage. FT 14 days combined</t>
  </si>
  <si>
    <t>ONEYAKLG10227800</t>
  </si>
  <si>
    <t>ONEU2966010</t>
  </si>
  <si>
    <t>31/7 - Pending NOA from liner. 5/8-Draft K1 rcvd. 6/8- K1 approved. 7/8 until 9/8- no updates. 10/8- flw up but no updates. 14/8-flw up again</t>
  </si>
  <si>
    <t>COAU7269872150</t>
  </si>
  <si>
    <t>CSGU2365586</t>
  </si>
  <si>
    <t xml:space="preserve">VP1000 4X5KG </t>
  </si>
  <si>
    <t>14/7- Plan delivery on 16/7 (Thursday). FT 35 days combined</t>
  </si>
  <si>
    <t>COAU7270034910</t>
  </si>
  <si>
    <t>CAAU6116661</t>
  </si>
  <si>
    <t>Wiltex 104 20kg</t>
  </si>
  <si>
    <t>6/7-docs rcvd, SSTE reused from PO 1510003265. FT DND 35 days combined. 14/7- Agent emailed req to deliver to Ipoh on 16/7 (Thursday). FT 35 days combined</t>
  </si>
  <si>
    <t>COAU7270034290</t>
  </si>
  <si>
    <t>CSNU8423204</t>
  </si>
  <si>
    <t>Wilcon SJ 25kg</t>
  </si>
  <si>
    <t>6/7-docs rcvd, SSTE cert sent to agent. 14/7 - Agent emailed request to deliver to Malacca on 16/7 (Thursday). FT 35 days combined</t>
  </si>
  <si>
    <t>COAU7270034870</t>
  </si>
  <si>
    <t>CSGU6160650</t>
  </si>
  <si>
    <t>COAU6460707600</t>
  </si>
  <si>
    <t>CSGU2718765</t>
  </si>
  <si>
    <t>Macaroni 400G Sedani &amp; Chifferi Rigati</t>
  </si>
  <si>
    <t>8/7-Sent docs to agent, pndg insurance &amp; COO from supplier. 11/7 until 16/7 - Still pending CO, had rcvd draft copy CO, had confirmed CO to supplier, insurance &amp; telex sent to agent. 16/7 -Rcvd K1 but wrong info. 17/7 - req to amend K1. 20/7 - revised K1 confirmed. Feb PO. 22/7- ppr approved/rleased</t>
  </si>
  <si>
    <t>CSGU2293779</t>
  </si>
  <si>
    <t>Macaroni Chifferi Rigati &amp; Rice Macaroni 400G Sedani Rigatti</t>
  </si>
  <si>
    <t>CSNU2522302</t>
  </si>
  <si>
    <t>Rice Macaroni 400G Sedani Rigatti &amp; Macaroni 300G Fusilli</t>
  </si>
  <si>
    <t>8/7-Sent docs to agent, pndg insurance &amp; COO from supplier. 11/7 until 16/7 - Still pending CO, had rcvd draft copy CO, had confirmed CO to supplier, insurance &amp; telex sent to agent. 16/7 -Rcvd K1 but wrong info. 17/7 - req to amend K1. 20/7 - revised K1 confirmed. Feb PO. 22/7- ppr approved/rleased. Since 27/7 until 30/7 - foresee DND charges due to whs limited bay / space issue</t>
  </si>
  <si>
    <t>FTAU2304240</t>
  </si>
  <si>
    <t>Egg Noodles 250G</t>
  </si>
  <si>
    <t>OOCU1129143</t>
  </si>
  <si>
    <t>Egg Noodles 500G</t>
  </si>
  <si>
    <t>8/7-Sent docs to agent, pndg insurance &amp; COO from supplier. 11/7 until 16/7 - Still pending CO, had rcvd draft copy CO, had confirmed CO to supplier, insurance &amp; telex sent to agent. 16/7 -Rcvd K1 but wrong info. 17/7 - req to amend K1. 20/7 - revised K1 confirmed. Feb PO. 22/7- ppr approved/rleased.</t>
  </si>
  <si>
    <t>CSGU2587304</t>
  </si>
  <si>
    <t>Egg &amp; Vege Noodles 250G</t>
  </si>
  <si>
    <t>EGLV235601241513</t>
  </si>
  <si>
    <t>EGSU2474319</t>
  </si>
  <si>
    <t>8/7-Sent docs to agent, pndg insurance &amp; COO from supplier. 11/7 until 16/7 - Still pending CO, had rcvd draft copy CO, had confirmed CO to supplier, insurance &amp; telex sent to agent. 16/7 -Rcvd K1 but wrong info. 17/7 -K1 confirmed. 18/7 - 21/7 - Pending customs approval. Apr PO. Since 27/7 until 30/7 - foresee DND charges due to whs limited bay / space issue</t>
  </si>
  <si>
    <t>EITU3216960</t>
  </si>
  <si>
    <t>Vege Noodles 250g</t>
  </si>
  <si>
    <t>EGSU3838478</t>
  </si>
  <si>
    <t>Egg Noodles 500g</t>
  </si>
  <si>
    <t>EGLV235601240606</t>
  </si>
  <si>
    <t>EGSU2312540</t>
  </si>
  <si>
    <t>Macaroni Chifferi Rigati 400g</t>
  </si>
  <si>
    <t>8/7-Sent docs to agent, pndg insurance &amp; COO from supplier. 11/7 until 16/7 - Still pending CO, had rcvd draft copy CO, had confirmed CO to supplier, insurance &amp; telex sent to agent. 16/7 -Rcvd K1 but wrong info. 17/7 - req to amend K1. 20/7 - Rev K1 approved. 21/7 - pending customs approval. Apr PO. 30/7-Whs req to divert to Bukit Raja due to stock no demand, diversion cost RM 397.5 (include sst)</t>
  </si>
  <si>
    <t>EGSU3903510</t>
  </si>
  <si>
    <t>Macaroni Chifferi &amp; Sedani Rigati 400g</t>
  </si>
  <si>
    <t>8/7-Sent docs to agent, pndg insurance &amp; COO from supplier. 11/7 until 16/7 - Still pending CO, had rcvd draft copy CO, had confirmed CO to supplier, insurance &amp; telex sent to agent. 16/7 -Rcvd K1 but wrong info. 17/7 - req to amend K1. 20/7 - Rev K1 approved. 21/7 - pending customs approval. Apr PO. Since 27/7 until 30/7 - foresee DND charges due to whs limited bay / space issue</t>
  </si>
  <si>
    <t>EGSU2299793</t>
  </si>
  <si>
    <t xml:space="preserve">8/7-Sent docs to agent, pndg insurance &amp; COO from supplier. 11/7 until 16/7 - Still pending CO, had rcvd draft copy CO, had confirmed CO to supplier, insurance &amp; telex sent to agent. 16/7 -Rcvd K1 but wrong info. 17/7 - req to amend K1. 20/7 - Rev K1 approved. 21/7 - pending customs approval. Apr PO. Since 27/7 until 30/7 - foresee DND charges due to whs limited bay / space issue. 5/8-3PL req shunting, but pending from agent. 11/8 until 13/8 -still pndg shunting. 14/8-shunting done </t>
  </si>
  <si>
    <t>EGSU2037638</t>
  </si>
  <si>
    <t>Rice Macaroni 400g Sedani Rigatti &amp; Macaroni Chifferi Rigati 400g</t>
  </si>
  <si>
    <t>EGLV235601241530</t>
  </si>
  <si>
    <t>EGSU3759888</t>
  </si>
  <si>
    <t>Egg Noodles 500g &amp; 250g</t>
  </si>
  <si>
    <t>8/7-Sent docs to agent, pndg insurance &amp; COO from supplier. 11/7 until 16/7 - Still pending CO, had rcvd draft copy CO, had confirmed CO to supplier, insurance &amp; telex sent to agent. 16/7 -Rcvd K1 but wrong info. 17/7 -K1 confirmed. 18/7 until 21/7 - Pndg customs approval. Apr PO. Since 27/7 until 30/7 - foresee DND charges due to whs limited bay / space issue</t>
  </si>
  <si>
    <t>EGSU2353739</t>
  </si>
  <si>
    <t>Egg Noodles 250g</t>
  </si>
  <si>
    <t>EGSU3354616</t>
  </si>
  <si>
    <t>COAU6460269890</t>
  </si>
  <si>
    <t>CSGU6207634</t>
  </si>
  <si>
    <t>13/7- SSTE cert sent to agent. Plan to deliver on Monday (27/7). FT 35 days combined</t>
  </si>
  <si>
    <t>COAU7269468470</t>
  </si>
  <si>
    <t>CSGU2824540</t>
  </si>
  <si>
    <t>DMH 25kg SSTE</t>
  </si>
  <si>
    <t>11/7 - Rcvd info from agent: MITI is undergoing implementation of the transition from OGA code "MIT" to OGA code "PDN" for sugar import and export permit applications, MITI permit will apply on 14/07, vsl ETA 18/7. 13/7- SSTE cert sent to agent. 29/7- pending permit approval, had rejected by Dggnet twice as agent wrongly update qty in system. 5/8- agent resubmit the permit. 6/8 until 18/8-still pndg approval. K1 draft confirmed. FT 35 days combined. 19/8-Permit approved. 26/8- ppr rlsed.</t>
  </si>
  <si>
    <t>CSGU2912071</t>
  </si>
  <si>
    <t>CSNU2777387</t>
  </si>
  <si>
    <t>OOCU1160149</t>
  </si>
  <si>
    <t>COAU7269882130</t>
  </si>
  <si>
    <t>CSGU2254746</t>
  </si>
  <si>
    <t>DMH 25kg SSTP</t>
  </si>
  <si>
    <t>11/7 - Rcvd info from agent: MITI is undergoing implementation of the transition from OGA code "MIT" to OGA code "PDN" for sugar import and export permit applications, MITI permit will apply on 14/07, vsl ETA 18/7. 13/7- SSTP. 29/7- pending permit approval, had rejected by Dggnet twice as agent wrongly update qty in system. 5/8- agent resubmit the permit. 6/8 until 14/8-still pndg approval. 14/8-Draft K1 approved. FT 35 days combined. 26/8-ppr approved.</t>
  </si>
  <si>
    <t>CSGU2792567</t>
  </si>
  <si>
    <t>FTAU2311763</t>
  </si>
  <si>
    <t>OOCU0652484</t>
  </si>
  <si>
    <t>ARAWANA</t>
  </si>
  <si>
    <t>MEDUXY998841</t>
  </si>
  <si>
    <t>FFAU4032230</t>
  </si>
  <si>
    <t>Soy Sauce</t>
  </si>
  <si>
    <t>FT 14-days combined</t>
  </si>
  <si>
    <t>TEMU1475515</t>
  </si>
  <si>
    <t>AEL2057318</t>
  </si>
  <si>
    <t>TXGU9004936</t>
  </si>
  <si>
    <t>Chill Spread and Frozen</t>
  </si>
  <si>
    <t>FT 14 days combined. 3/8- NOA rcvd. 6/8- K1 approved.7/8 until 12/8- no updates from Swift. 13/8-Informed plan deliver on 13/8</t>
  </si>
  <si>
    <t>EGLV050600785359</t>
  </si>
  <si>
    <t>EGSU3379358</t>
  </si>
  <si>
    <t>Canned Tuna</t>
  </si>
  <si>
    <t>9/7- rcvd docs from supplier. 10/7 until 14/7 - pending collection &amp; updates in e-permit on LKIM renewal. 15/7 - LKIM portal updated, Maqis permit &amp; insurance sent to supplier. 20/7 - K1 approved. 21/7 until 22/7- Pending OGA. 24/7- OGA approved, eDO rlsed.</t>
  </si>
  <si>
    <t>YMJAI488373899</t>
  </si>
  <si>
    <t>SEGU1395413</t>
  </si>
  <si>
    <t>V-soy MultiGrain No Sugar Added</t>
  </si>
  <si>
    <t>22/7- pending OGA. 24/7- eDO rlsed</t>
  </si>
  <si>
    <t>HPCU3097230</t>
  </si>
  <si>
    <t>V-Soy Ori Soymilk &amp; M.Grain NS</t>
  </si>
  <si>
    <t>TEMU1106081</t>
  </si>
  <si>
    <t>YMMU1266775</t>
  </si>
  <si>
    <t>YMMU1307149</t>
  </si>
  <si>
    <t>V-soy MultiGrain</t>
  </si>
  <si>
    <t>YMMU1330278</t>
  </si>
  <si>
    <t>SEGU1356952</t>
  </si>
  <si>
    <t>YMMU1011460</t>
  </si>
  <si>
    <t>TEMU1166183</t>
  </si>
  <si>
    <t>YMMU1351183</t>
  </si>
  <si>
    <t>YMMU1449673</t>
  </si>
  <si>
    <t>TEMU1067832</t>
  </si>
  <si>
    <t>BEAU2613689</t>
  </si>
  <si>
    <t>YMJAI488373900</t>
  </si>
  <si>
    <t>BEAU2577468</t>
  </si>
  <si>
    <t>20/7 - K1 approved</t>
  </si>
  <si>
    <t>YMMU1128734</t>
  </si>
  <si>
    <t>TEMU5478512</t>
  </si>
  <si>
    <t>YMLU3500678</t>
  </si>
  <si>
    <t>YMLU3530332</t>
  </si>
  <si>
    <t>YMMU1039540</t>
  </si>
  <si>
    <t>BEAU2059200</t>
  </si>
  <si>
    <t>BEAU2497320</t>
  </si>
  <si>
    <t>TEMU1707713</t>
  </si>
  <si>
    <t>SEGU2719081</t>
  </si>
  <si>
    <t>V-Soy Low Sugar Soymilk</t>
  </si>
  <si>
    <t>BEAU2531195</t>
  </si>
  <si>
    <t>YMMU1128863</t>
  </si>
  <si>
    <t>V-Soy Multi - Grain No Sugar</t>
  </si>
  <si>
    <t>YMMU1009099</t>
  </si>
  <si>
    <t>SGZCB26001148</t>
  </si>
  <si>
    <t>CAIU6050762</t>
  </si>
  <si>
    <t>(69-0171) 1510002493 (SCS2612202/1-2)</t>
  </si>
  <si>
    <t>Cust PO: SCS2612202/1-2. 21/7- Import permit submitted - MAQ1032026Y0012743. Permit &amp; insurance sent to to supplier. 22/7- all docs sent to agent. 12/8 until 14/8-Pndg OGA approval. 17/8-OGA approved, ppr rlsed. FT: 14 days combined.</t>
  </si>
  <si>
    <t>OCGU2049444</t>
  </si>
  <si>
    <t>Cust PO: SCS2612202/1-2. 21/7- Import permit submitted - MAQ1032026Y0012743. Permit &amp; insurance sent to to supplier. 22/7- all docs sent to agent. 12/8 until 16/8-Pndg OGA approval. 17/8-OGA approved, ppr rlsed. FT: 14 days combined. 19/8- Paper rlsed</t>
  </si>
  <si>
    <t>COAU6460580940</t>
  </si>
  <si>
    <t>FBIU0046340</t>
  </si>
  <si>
    <t>MSG 50 &amp; 80 Mesh 25kg</t>
  </si>
  <si>
    <t>21/7- FFM pay SST. 4/8 approval, delivery 5/8. FT 35 days combined</t>
  </si>
  <si>
    <t>COAU6460992690</t>
  </si>
  <si>
    <t>CSGU2115545</t>
  </si>
  <si>
    <t>21/7- SSTP - 3,200bags - FFM pay SST. 28/7-Agent submit permit. 2/8-Permit rejected due to wrong qty mentioned in permit.  5/8- agent resubmit the permit. 6/8 until 18/8-still pndg approval. 13/8-flw up K1 draft. 14/8-K1 draft confirmed. FT 35 days combined. NOA rcvd. 19/8-permit approved. 26/8- ppr approved.</t>
  </si>
  <si>
    <t>OOCU0826288</t>
  </si>
  <si>
    <t>OOCU1072095</t>
  </si>
  <si>
    <t>CSGU2505482</t>
  </si>
  <si>
    <t>SGZCB26001265</t>
  </si>
  <si>
    <t>FCIU4469758</t>
  </si>
  <si>
    <t>27/7-Maqis applied MAQ1032026Y0013114. 28/7- Permit approved. 4/8- Insurance applied, all docs sent to agent. 18/8 until 19/8- Pndg OGA approval. 20/8-wtg officer for Maqis inspection.</t>
  </si>
  <si>
    <t>TEMU3900249</t>
  </si>
  <si>
    <t>ONEYAKLG11944800</t>
  </si>
  <si>
    <t>ONEU3267743</t>
  </si>
  <si>
    <t>MF FULL CREAM UHT MILK 1 LITRE</t>
  </si>
  <si>
    <t xml:space="preserve">25/7- Agent rcvd docs from mrktg, flw up NOA, not rcvd from liner. 26/8- NOA rcvd. 27/8-Draft K1 rcvd, confirmed. 28/7- HOLD by MAQIS for inspection. 31/8 -flw up shipment but no feedback. 1/9- Maqis rlsead cntnr. 3/9- paper approved. </t>
  </si>
  <si>
    <t>ACD0906688</t>
  </si>
  <si>
    <t>CMAU0689888</t>
  </si>
  <si>
    <t>11/8 - NOA sent to agent. 14/8-K1 approved. FT 14 days combined</t>
  </si>
  <si>
    <t>ACD0906687</t>
  </si>
  <si>
    <t>ECMU2723346</t>
  </si>
  <si>
    <t>MF FULL CREAM UHT MILK 250ML</t>
  </si>
  <si>
    <t>YMJAI488374073</t>
  </si>
  <si>
    <t>SEGU1466380</t>
  </si>
  <si>
    <t>VSMGBC, VS-Cocoa</t>
  </si>
  <si>
    <t>5/8 - K1 approved. 6/8 until 11/8- pendg OGA. 12/8-pndg customs process. 13/8 - shpmnt rlsed, whs will plan which cntnr need to deliver 1st.</t>
  </si>
  <si>
    <t>DRYU2827599</t>
  </si>
  <si>
    <t>VSMGBC</t>
  </si>
  <si>
    <t>YMLU3592062</t>
  </si>
  <si>
    <t>VS-Cocoa</t>
  </si>
  <si>
    <t>BEAU2564373</t>
  </si>
  <si>
    <t>SEGU1377657</t>
  </si>
  <si>
    <t>VSMG</t>
  </si>
  <si>
    <t>TLLU2258080</t>
  </si>
  <si>
    <t>VSMG, VS-Cocoa</t>
  </si>
  <si>
    <t>YMMU1050169</t>
  </si>
  <si>
    <t>VSMG No Sugar</t>
  </si>
  <si>
    <t>GAOU2604588</t>
  </si>
  <si>
    <t>VS Low Sugar</t>
  </si>
  <si>
    <t>YMMU1422950</t>
  </si>
  <si>
    <t>TGBU2350929</t>
  </si>
  <si>
    <t>EGLV050600875561</t>
  </si>
  <si>
    <t>EGSU3779122</t>
  </si>
  <si>
    <t>Vitamilk Soya Bean Milk, Blended Soya Bean Milk and 2% Whole Milk Powder</t>
  </si>
  <si>
    <t>5/8 until 6/8- Pending ppr approval from customs. Had req for adv payment</t>
  </si>
  <si>
    <t>EITU3232385</t>
  </si>
  <si>
    <t>OOLU2334098480</t>
  </si>
  <si>
    <t>TIIU2204435</t>
  </si>
  <si>
    <t>EGG NOODLES 250G</t>
  </si>
  <si>
    <t xml:space="preserve">3/8- mrktg req to confirm draft docs. 4/8- draft docs confirmed, sent  docs to agent, pndg COO and insurance. 7/8- all docs sent to agent. 11/8-Rcvd draft K1. 12/8-Draft K1 confirmed. 13/8-resending NOA incase agent not rcvd. 14/8-flw up shipment as no fdback from agent, change delivery location, sent to agent. 18/8- flw up shipment, agent informed COO not exist in system. 24/8-COO updated &amp; approved by customs, K1 approved. 27/8-3 cntnrs further change location due to limited bay &amp; whs congested at bukit raja. (FT 21days combined). </t>
  </si>
  <si>
    <t>CSGU2292200</t>
  </si>
  <si>
    <t xml:space="preserve">3/8- mrktg req to confirm draft docs. 4/8- draft docs confirmed, sent  docs to agent, pndg COO and insurance. 7/8- all docs sent to agent. 11/8-Rcvd draft K1. 12/8-Draft K1 confirmed. 13/8-resending NOA incase agent not rcvd. 14/8-flw up shipment as no fdback from agent, change delivery loc sent to agent. 19/8- agent informed COO not exist in system. 21/8-COO updated. 24/8- COO approved by customs, K1 approved. (FT 21days combined). </t>
  </si>
  <si>
    <t>OOCU0707170</t>
  </si>
  <si>
    <t>EGG NOODLES 500G</t>
  </si>
  <si>
    <t>CSNU2411320</t>
  </si>
  <si>
    <t>OOCU1028894</t>
  </si>
  <si>
    <t>OOCU0548063</t>
  </si>
  <si>
    <t>AKL600475800</t>
  </si>
  <si>
    <t>PCIU1996971</t>
  </si>
  <si>
    <t>MF FULL CREAM UHT MILK 1L</t>
  </si>
  <si>
    <t>19/8- K1 approved</t>
  </si>
  <si>
    <t>EGLV050600914612</t>
  </si>
  <si>
    <t>EMCU6137404</t>
  </si>
  <si>
    <t>6/8- Permit submitted MAQ1032026Y0013828. 13/8 until 14/8 until 19/8-Pndg OGA. 20/8-wtg officer for Maqis inspection. 21/8 ppr rlsed</t>
  </si>
  <si>
    <t>OOLU2334098330</t>
  </si>
  <si>
    <t>OOCU0820192</t>
  </si>
  <si>
    <t>30/7-Mrktg req to confirm draft docs. 31/7-draft cnfirmed. 7/8- rcvd docs from mrktg, sent to agent, pndg COO. 12/8-Rcvd final COO, BL, insurance, sent to agent. 17/8-Rcvd draft K1 &amp; confirmed. 18/8 until 25/8- flw up shipment since no update/fdbck from agent. 26/8-ppr approved, agent provide k1 chit. 27/8- change delivery location for few cntnrs. (info:FT 21 days combined).</t>
  </si>
  <si>
    <t>FTAU1892874</t>
  </si>
  <si>
    <t>BMOU1657413</t>
  </si>
  <si>
    <t>Macaroni 300g Fussili, 400g Chifferi</t>
  </si>
  <si>
    <t>CSNU2526062</t>
  </si>
  <si>
    <t>OOCU0515558</t>
  </si>
  <si>
    <t>COAU6460748470</t>
  </si>
  <si>
    <t>TCNU2280478</t>
  </si>
  <si>
    <t>3/8- To pay SSTE. 7/8- SSTE cert sent to agent with NOA. 13/8- Rcvd draft K1. 14/8-K1 confirmed. FT 35 days combined. 18/8-paper approved, plan deliver to Ipoh 20/8</t>
  </si>
  <si>
    <t>SGZCB26001321</t>
  </si>
  <si>
    <t>REGU1254543</t>
  </si>
  <si>
    <t>11/8 - Permit applied MAQ1032026Y0014077. 13/08-Permit approved, sent to supplier. 28/8-insurance sent to supplier, all docs sent to agent. 7/9- pendg OGA approval. 8/9- OGA approved. FT 14 days combined</t>
  </si>
  <si>
    <t>TGBU3688269</t>
  </si>
  <si>
    <t>NIL</t>
  </si>
  <si>
    <t>TRUCKING</t>
  </si>
  <si>
    <t>VS Soymilk Bottle &amp; VSMG Soymilk</t>
  </si>
  <si>
    <t>SH WORLDWIDE</t>
  </si>
  <si>
    <t>VSMG Black Cereal &amp; VSMG Soymilk</t>
  </si>
  <si>
    <t>Shortage 2 crtons, as MOH had taking 2 samples for inspection, Surat Pengambilan Sampel sent 24/8.</t>
  </si>
  <si>
    <t>COAU6461046390</t>
  </si>
  <si>
    <t>BEAU6064993</t>
  </si>
  <si>
    <t>CSP WILCON SJ 25KG SSTE</t>
  </si>
  <si>
    <t>17/8- SSTE cert &amp; NOA sent to agent.</t>
  </si>
  <si>
    <t>VASLKRPKL019445</t>
  </si>
  <si>
    <t>VMLU3102178</t>
  </si>
  <si>
    <t>VS Original Soymilk Bottle</t>
  </si>
  <si>
    <t>18/8- Draft K1 rcvd. 19/8- K1 draft confirmed. 24/8- pndg OGA. 26/8 - OGA cleared</t>
  </si>
  <si>
    <t>VMLU3840839</t>
  </si>
  <si>
    <t>GRMU3401324</t>
  </si>
  <si>
    <t>VSBU2075567</t>
  </si>
  <si>
    <t>VSMG Black Cereal Soymilk Bottle</t>
  </si>
  <si>
    <t>EISU3541061</t>
  </si>
  <si>
    <t>GRMU2126594</t>
  </si>
  <si>
    <t>VSMG Black Cereal &amp; Soymilk Bottle</t>
  </si>
  <si>
    <t>GRMU3407425</t>
  </si>
  <si>
    <t>VSMG Cereal Soymilk</t>
  </si>
  <si>
    <t>GRMU3408674</t>
  </si>
  <si>
    <t>DFSU3113956</t>
  </si>
  <si>
    <t>VMLU3702362</t>
  </si>
  <si>
    <t>VSMG Soymilk</t>
  </si>
  <si>
    <t>VMLU3201735</t>
  </si>
  <si>
    <t>EGLV050600940991</t>
  </si>
  <si>
    <t>EGSU2068407</t>
  </si>
  <si>
    <t>24/8- K1 confirmed. 27/8 until 31/8-pndg OGA approval.</t>
  </si>
  <si>
    <t>EMCU6530469</t>
  </si>
  <si>
    <t>FYCU7041934</t>
  </si>
  <si>
    <t>EGSU3815195</t>
  </si>
  <si>
    <t>EGSU2472384</t>
  </si>
  <si>
    <t>VSMG Soymilk &amp; Original Soy Bottle</t>
  </si>
  <si>
    <t>EGSU2472152</t>
  </si>
  <si>
    <t>VSMG Black &amp; Cereal Soymilk, Ori</t>
  </si>
  <si>
    <t xml:space="preserve">PLL 6913 </t>
  </si>
  <si>
    <t xml:space="preserve">TRUCKING /BPF9467 </t>
  </si>
  <si>
    <t>CAIU8086980</t>
  </si>
  <si>
    <t>AEL2076408</t>
  </si>
  <si>
    <t>TCLU6891014</t>
  </si>
  <si>
    <t>Praise&amp;GNC</t>
  </si>
  <si>
    <t>9/9- K1 draft rcvd but on training. 14/9- K1 confirmed</t>
  </si>
  <si>
    <t>ACD0914191</t>
  </si>
  <si>
    <t>FTAU1857868</t>
  </si>
  <si>
    <t>MF FULL CREAM UHT MILK INTL 1L</t>
  </si>
  <si>
    <t>TRHU1180591</t>
  </si>
  <si>
    <t>ACD0914193</t>
  </si>
  <si>
    <t>TRIU6626340</t>
  </si>
  <si>
    <t>MF Whipping Cream</t>
  </si>
  <si>
    <t>28/8- docs sent to agent. 8/9-NOA sent to agent. 10/9- vsl arrived. 11/9 until 13/9- no update from agent. 14/9- req draft k1 for checking. 15/9- rcvd k1 draft &amp; confirmed. 16/9 until 17/9- no update. 18/9- flw up shipment. 22/9-cntnr sent to GC. 24/9- unstuffed completed, informed agent late evening. 30/9- Mt return to port.</t>
  </si>
  <si>
    <t>ACD0914699</t>
  </si>
  <si>
    <t>FCIU6341560</t>
  </si>
  <si>
    <t>17/9 - K1 confirmed. 18/9- blocked by MAQIS for inspection. 21/9 -OGA rlsed, pndg customs approval. 22/9- customs approved, gatepass sent to haulage. CMA absorb charges 1-day.</t>
  </si>
  <si>
    <t>ECMU2810311</t>
  </si>
  <si>
    <t>17/9 - K1 confirmed. 18/9- blocked by MAQIS for inspection. 21/9 -OGA rlsed, pndg customs approval. 22/9- customs approved, gatepass sent to haulage. 28/9- request shunting, but swift only completed on 2/10. CMA absorb charges 1-day.</t>
  </si>
  <si>
    <t>COAU6463016850</t>
  </si>
  <si>
    <t>OOCU5615518</t>
  </si>
  <si>
    <t>TEXTURED SOYBEAN PROTEIN WILCON T201B 20KG (640BAGS)</t>
  </si>
  <si>
    <t>COAU6463016880</t>
  </si>
  <si>
    <t>TCNU5662746</t>
  </si>
  <si>
    <t xml:space="preserve">TEXTURED SOYBEAN PROTEIN WILCON 20KG (640BAGS) </t>
  </si>
  <si>
    <t>9/9- Draft K1 rcvd, pending due to training. 14/9- K1 need to revised.</t>
  </si>
  <si>
    <t>COAU6462390270</t>
  </si>
  <si>
    <t>GAOU7429997</t>
  </si>
  <si>
    <t>CONCENTRATE SOY PROTEIN WILCON SJ 25KG</t>
  </si>
  <si>
    <t>6/9-Sent NOA to agent. 8/9- Rcvd draft K1 &amp; approved. 17/9- paper approved.</t>
  </si>
  <si>
    <t>COAU6462993070</t>
  </si>
  <si>
    <t>CSLU6119561</t>
  </si>
  <si>
    <t>CONCENTRATE SOY PROTEIN WILCON SJ 25KG SSTE</t>
  </si>
  <si>
    <t>14/9 - K1 confirmed</t>
  </si>
  <si>
    <t>ONEYAKLG13114600</t>
  </si>
  <si>
    <t>ONEU2474710</t>
  </si>
  <si>
    <t>PENDING</t>
  </si>
  <si>
    <t>7/9- cmplete docs sent to agent. 29/9-remind agent to flw up shipment &amp; req k1. 30/9- rcvd draft K1. 1/10- K1 need to revised. 2/10- rcvd revised. 5/10- revised k1 confirmed. 6/10 until 7/10- no update from agent. 8/10- update delivery address. 9/10 until 12/10- no update from agent. 13/10 until 18/10-pndg customs approval due to MAQIS inspection. 19/10- ppr approved. 20/10 until 21/10- pending delivery as wtg for whs space.</t>
  </si>
  <si>
    <t>ONEU3141626</t>
  </si>
  <si>
    <t>ONEYAKLG13113500</t>
  </si>
  <si>
    <t>SZLU2031934</t>
  </si>
  <si>
    <t>MF Whipping Cream 1L</t>
  </si>
  <si>
    <t>GOLD COLD</t>
  </si>
  <si>
    <t>7/9- sent complete docs to agent. 10/9- Ori HC courierd to agent. 11/9 until 28/9- No updates from agent on shipment, vsl arrived since 26/09. 29/9- Flw up shipment with agent. 30/9- rcvd K1 draft &amp; confirmed, advised delivery location. 1/10- provide full address of GC but cntnr only delivered 6/10.</t>
  </si>
  <si>
    <t>MEDUAAP26598</t>
  </si>
  <si>
    <t>TCLU2597275</t>
  </si>
  <si>
    <t>SOY SAUCE</t>
  </si>
  <si>
    <t>7/9- Rcvd NOA from liner, but no documents rcvd from mrktg, sent to mrktg &amp; rcvd docs on same day. 8/9- Had PL issue, rcvd revised frm mrktg. 9/9- rcvd K1 draft. 10/10-Agent informed pndg original HC, mrktg will courier on 11/10. 14/9 - K1 approved late (training). 17/9- Flw up shipment but one of cntnr TCLU2597275 being HOLD by KKM for inspection. 21/9- customs inform labelling is not accurate &amp; need to proceed undertaking (relabel back), customs HOLD for all cntnrs. 22/9- mrktg advised on the labelling part, got rejected. FFM need to fill up few forms &amp; do relabelling. 23/9-still bargain agent to convince customs on label issue but no feedback. 28/9- Cntnrs can be delivered to FFM whs but to isolate &amp; not unload until rcvd approval from MOH, mrktg req customs cntct details, wtg fdback from agent. 29/9-Agent informed, need to fill up the undertaking form, once approved, then MOH will provide PIC details. 30/9-agent flw up undertaking letter but FFM still pndg sample letter from agent. 1/10-req the sample again. 2/10-Agent update forms &amp; letter need to prepare. 5/10- sent to mrktg to get the info. (FT 14 days combined)</t>
  </si>
  <si>
    <t>FBIU0369337</t>
  </si>
  <si>
    <t>Plan unload 27/10</t>
  </si>
  <si>
    <t>MSBU1932162</t>
  </si>
  <si>
    <t>MSNU2069325</t>
  </si>
  <si>
    <t>FYCU7029733</t>
  </si>
  <si>
    <t>UETU2710847</t>
  </si>
  <si>
    <t>MSMU2411985</t>
  </si>
  <si>
    <t>COAU6463096310</t>
  </si>
  <si>
    <t>OOCU9098331</t>
  </si>
  <si>
    <t>SESAME OIL</t>
  </si>
  <si>
    <t>4/9- rcvd NOA from liner but no docs from mrktg. 6/9- another reminder from liner. 7/9- forward to mrktg to confirm shipment, rcvd docs late evening, sent to Swift since they rcvd the NOA, changing agent last min will get the declaration issue. 9/9- draft k1 rcvd, in training. 10/10-pndg original HC, mrktg confirm they will courier out to agent on 11/10. 14/9- K1 need to amend qty, immediate approve once revised. 17/9-BL is under OBL, pndg OBL to rlse EDO. 18/9- rcvd telex rls from supplier, sent to agent. 24/9- cntnr collected 24/9 midnight.</t>
  </si>
  <si>
    <t>OOLU2337725350</t>
  </si>
  <si>
    <t>CSNU2509342</t>
  </si>
  <si>
    <t>EGG NOODLES</t>
  </si>
  <si>
    <t>FT DND 21-days combined. 11/9-docs rcvd from mrktg, but pndg coo. 14/9-sent to agent. 22/9-rcvd another email of shp docs, sent to agent. 23/9- rcvd draft k1, need to revise cntnr type, NOA sent to agent. 24/9 until 28/9-no updates from agent. 29/9- flw up shipment, revised k1, agent said pndg coo, flw up with mrktg. 30/9-Advised agent on delivery location. 1/10-shipment HOLD by MAQIS for inspection.</t>
  </si>
  <si>
    <t>OOCU8840826</t>
  </si>
  <si>
    <t>OOCU8367689</t>
  </si>
  <si>
    <t>CSGU6580740</t>
  </si>
  <si>
    <t>VEGE NOODLES</t>
  </si>
  <si>
    <t>COAU6463539430</t>
  </si>
  <si>
    <t>CSGU2146567</t>
  </si>
  <si>
    <t xml:space="preserve">DMH 25KG (WOVEN BAG) SSTP </t>
  </si>
  <si>
    <t>SSTP. 18/9 - Rcvd K1 &amp; confirmed, pndg permit approval from KPDN. 24/9- confirmed delivery address since 3PL change whs address. 25/9 until 28/9-no updates. 29/9- flw up shipment, delivery start today.</t>
  </si>
  <si>
    <t>CSGU2394265</t>
  </si>
  <si>
    <t>CSNU2624602</t>
  </si>
  <si>
    <t>FTAU1310818</t>
  </si>
  <si>
    <t>COAU6464148280</t>
  </si>
  <si>
    <t>CSLU2299608</t>
  </si>
  <si>
    <t>DMH 25KG (WOVEN BAG) SSTE</t>
  </si>
  <si>
    <t>9/9 until 18/9 - Pndg C3 letter for SSTE. 18/9 - pending permit approval from KPDN. 22/9 until 27/9- still pending C3 letter from cust. 28/9-Rcvd C3 letter, sent sste cert to agent. 29/9- rcvd K1 draft, confirmed K1.</t>
  </si>
  <si>
    <t>CSNU1539255</t>
  </si>
  <si>
    <t>CSNU2540604</t>
  </si>
  <si>
    <t>TIIU2198517</t>
  </si>
  <si>
    <t>COAU6463539740</t>
  </si>
  <si>
    <t>CSGU2510998</t>
  </si>
  <si>
    <t>SSTP. 18/9 - Rcvd K1 &amp; confirmed, pndg permit approval from KPDN. 24/9- confirmed delivery address since 3PL change whs address. 25/9 until 28/9-no updates. 29/9- flw up shipment, delivery start today. 5/10- Bukit raja only can accept 2 cntnrs in 1 time, 2 cntnrs delivered, another 2 will deliver once completed.</t>
  </si>
  <si>
    <t>FTAU2295955</t>
  </si>
  <si>
    <t>OOCU1065028</t>
  </si>
  <si>
    <t>CSNU2610682</t>
  </si>
  <si>
    <t>ACD0917817</t>
  </si>
  <si>
    <t>CMAU2780718</t>
  </si>
  <si>
    <t>MF FULL CREAM UHT MILK 1 L</t>
  </si>
  <si>
    <t>21/9- K1 confirmed</t>
  </si>
  <si>
    <t>VASLKRPKL019508</t>
  </si>
  <si>
    <t>VMLU3865652</t>
  </si>
  <si>
    <t>17/9- K1 confirmed. 21/9-OGA approved, wtg for customs cleareance</t>
  </si>
  <si>
    <t>VMLU3846185</t>
  </si>
  <si>
    <t>VMLU3843231</t>
  </si>
  <si>
    <t>GRMU2416211</t>
  </si>
  <si>
    <t>VMLU3836398</t>
  </si>
  <si>
    <t>VMLU3853158</t>
  </si>
  <si>
    <t>EGLV050601079814</t>
  </si>
  <si>
    <t>EGSU3847720</t>
  </si>
  <si>
    <t>18/9- K1 confirmed</t>
  </si>
  <si>
    <t>EGLV050600941008</t>
  </si>
  <si>
    <t>EGSU3158784</t>
  </si>
  <si>
    <t>22/9-K1 approved. 23/9- pndg OGA approval. 24/9-shipment rlsed.</t>
  </si>
  <si>
    <t>EGSU3826179</t>
  </si>
  <si>
    <t>EMCU6219230</t>
  </si>
  <si>
    <t>EMCU6391640</t>
  </si>
  <si>
    <t>EMCU6222213</t>
  </si>
  <si>
    <t>EGSU2818332</t>
  </si>
  <si>
    <t>VSMG Black Cereal Bottle</t>
  </si>
  <si>
    <t>EGSU3447724</t>
  </si>
  <si>
    <t>EGSU2830662</t>
  </si>
  <si>
    <t>EMCU6193373</t>
  </si>
  <si>
    <t>EGSU2444886</t>
  </si>
  <si>
    <t>22/9-K1 approved. 23/9- pndg OGA approval. 24/9-shipment rlsed. Pick up cntnr 30/9</t>
  </si>
  <si>
    <t>EGLV050601089534</t>
  </si>
  <si>
    <t>EGSU2256338</t>
  </si>
  <si>
    <t>VSMG Soymilk UHT</t>
  </si>
  <si>
    <t>22/9- K1 approved. 23/9 until 24/9- pndg OGA approval. 25/9- OGA approved.</t>
  </si>
  <si>
    <t>EGSU3150274</t>
  </si>
  <si>
    <t>TCLU3547643</t>
  </si>
  <si>
    <t>EGSU3204468</t>
  </si>
  <si>
    <t>EITU3222200</t>
  </si>
  <si>
    <t>EITU0538345</t>
  </si>
  <si>
    <t>VSMG Cereal Soymilk UHT</t>
  </si>
  <si>
    <t>EMCU6539018</t>
  </si>
  <si>
    <t>VSMG No Sugar Soymilk UHT</t>
  </si>
  <si>
    <t>EGHU3732501</t>
  </si>
  <si>
    <t>V-Soy Original Soymilk UHT</t>
  </si>
  <si>
    <t>EITU0357748</t>
  </si>
  <si>
    <t>V-Soy Golden Grain Soymilk UHT</t>
  </si>
  <si>
    <t>LGVSGNPKG26091801</t>
  </si>
  <si>
    <t>COPU1204668</t>
  </si>
  <si>
    <t>Macaroni 400g Sedani Rigati, 300g Fusili</t>
  </si>
  <si>
    <t>FT DND 21-days combined. 17/9- rcvd docs from mrktg for checking. 21/9-rcvd final docs, pendg COO. 22/9-sent docs to agent. 23/9-rcvd K1, pndg coo to confirm k1, wrong hs code in K1, req to amend. 24/9-sent LOA. 25/9 until 28/9- no update from agent on rev k1 &amp; status shipment. 29/9- flw up rev k1 &amp; status shipment, agent said pending coo &amp; rev K1 confirmed. 30/9- Advised agent delivery location. 1/10-shipment HOLD by MAQIS for inspection.</t>
  </si>
  <si>
    <t>MXSU3003110</t>
  </si>
  <si>
    <t>Macaroni 400g Chifferi Rigati</t>
  </si>
  <si>
    <t>COPU7201455</t>
  </si>
  <si>
    <t>COAU6463540110</t>
  </si>
  <si>
    <t>CSGU2515074</t>
  </si>
  <si>
    <t>DMH 25KG (WOVEN BAG) SSTP</t>
  </si>
  <si>
    <t>SSTP. FT DND 35 days. 24/9- Agent sent wrong K1 draft attachment. 25/9-Draft K1 approved. 1/10- NOA sent to agent. 7/10- vsl arrived. 8/10- Advise delivery location. 9/10- pndg customs approval.</t>
  </si>
  <si>
    <t>CSGU2691978</t>
  </si>
  <si>
    <t>CSGU2714651</t>
  </si>
  <si>
    <t>CSNU2860125</t>
  </si>
  <si>
    <t>COAU6464941340</t>
  </si>
  <si>
    <t>OOCU0392176</t>
  </si>
  <si>
    <t>DMH 25KG (WOVEN BAG) SSTP/SSTE</t>
  </si>
  <si>
    <t>2160 bags SSTE, 1040 bags SSTP. 22/9 until 28/9-pndg C3 letter. 29/9- rcvd 2 C3 letters, sent sste cert to agent. 1/10- rcvd final c3 letter, sent last sste cert to agent. 8/10- K1 draft confirmed. 9/10- Advised delivery location. 10/10 until 12/10- no update from agent. 13/10- flw up shipment. 14/10- paper customs approved. pndg delivery as wtg 3rd party to advise the bay. FT DND 35 days.</t>
  </si>
  <si>
    <t>CSGU2886645</t>
  </si>
  <si>
    <t>CSGU2583103</t>
  </si>
  <si>
    <t>CSGU2107848</t>
  </si>
  <si>
    <t>COAU9509586220</t>
  </si>
  <si>
    <t>TLLU7719780</t>
  </si>
  <si>
    <t>TSP WILCON T201B 20KG (SSTP)</t>
  </si>
  <si>
    <t>SSTP. FT DND 35 days. 24/9- K1 draft rcvd. 25/9 until 28/9- unable to confirm as pndg COO from marketing (SST &amp; duty). 29/9- Rcvd COO from mrktg, sent to agent, req to revise K1. 30/9-Rev K1 confirmed. 7/10- vsl arrived, pndg approval from customs until 9/10.</t>
  </si>
  <si>
    <t>COAU9509586560</t>
  </si>
  <si>
    <t>CSNU8601815</t>
  </si>
  <si>
    <t>TSP WILCON T201B 20KG (SSTE)</t>
  </si>
  <si>
    <t>SSTE cert sent. 23/9-sent SSTE cert to agent. 24/9-Rcvd &amp; confirmed K1 draft. 29/9- Rcvd COO, sent to agent. 7/10- vsl arrived, pndg approval from customs until 9/10. 15/10 - ppr rleased.</t>
  </si>
  <si>
    <t>VASLKRPKL019534</t>
  </si>
  <si>
    <t>VMLU3863161</t>
  </si>
  <si>
    <t>25/9- K1 approved. 29/9- OGA pndg approval. 30/9- OGA cleared, pndg paper approved. 1/10- OGA cleared, wtg ppr to approved. 2/10- ppr approved.</t>
  </si>
  <si>
    <t>VMLU3807337</t>
  </si>
  <si>
    <t>VMLU3849918</t>
  </si>
  <si>
    <t>VMLU3843376</t>
  </si>
  <si>
    <t>VMLU3844773</t>
  </si>
  <si>
    <t>VMLU3846565</t>
  </si>
  <si>
    <t>VMLU3843930</t>
  </si>
  <si>
    <t>VMLU3849693</t>
  </si>
  <si>
    <t>VMLU3848850</t>
  </si>
  <si>
    <t>VMLU3849760</t>
  </si>
  <si>
    <t>AEL2081429</t>
  </si>
  <si>
    <t>CGMU6962447</t>
  </si>
  <si>
    <t>5/10- NOA rcvd, sent to agent. FT: 15 days combined</t>
  </si>
  <si>
    <t>ONEYAKL600592400</t>
  </si>
  <si>
    <t>PCIU1762438</t>
  </si>
  <si>
    <t>28/9- rcvd docs from mrktg, sent to agent. 29/9- req FT DND with agent. 7/10 until 9/10- pdng customs approval.</t>
  </si>
  <si>
    <t>PIDU2026218</t>
  </si>
  <si>
    <t>ACD0919678</t>
  </si>
  <si>
    <t>CMAU2413420</t>
  </si>
  <si>
    <t xml:space="preserve">MF UHT Milk Full Cream 1L </t>
  </si>
  <si>
    <t>28/9- rcvd docs from mrktg, sent to agent. 29/9- req FT DND with agent. 5/10- NOA rcvd, sent to agent. 6/10- Hold for Maqis inspection. 7/10- vsl arrived, pndg approval from customs until 9/10. 11/10 until 13/10-pndg custom approval due to check AANZFTA. 1/10- Ppr rleased. FT: 15 days combined</t>
  </si>
  <si>
    <t>TEMU1882531</t>
  </si>
  <si>
    <t>SZXCB26043850</t>
  </si>
  <si>
    <t>REGU1305506</t>
  </si>
  <si>
    <t>Light Soy Sauce 1.8L</t>
  </si>
  <si>
    <t>29/9- rcvd docs, sent to agent. 1/10- Confirmed draft K1 &amp; sent LOI. 5/10 until 7/10- pndg OGA approval. 8/10- OGA approval, pndg ppr clearance. 9/10- still pndg customs approval, agent will submit manually.</t>
  </si>
  <si>
    <t>SGN601661700</t>
  </si>
  <si>
    <t>HPCU5131647</t>
  </si>
  <si>
    <t>29/9- rcvd docs. 30/9-sent to agent. 2/10- rcvd insurance, coo, sent to agent.</t>
  </si>
  <si>
    <t>PIDU4282693</t>
  </si>
  <si>
    <t>PIDU4477648</t>
  </si>
  <si>
    <t>OCVSGNPKG-23926</t>
  </si>
  <si>
    <t>TDRU5174917</t>
  </si>
  <si>
    <t>29/9- rcvd docs. 30/9-sent to agent. 2/10-rcvd insurance &amp; COO. 5/10- sent to agent. 6/10- Draft K1 approved. 7/10 until 9/10- pndg customs approval/rlease.</t>
  </si>
  <si>
    <t>SGNCB26030393</t>
  </si>
  <si>
    <t>REGU5252894</t>
  </si>
  <si>
    <t>2/10-complete docs sent to agent</t>
  </si>
  <si>
    <t>SGN601734300</t>
  </si>
  <si>
    <t>CAAU9053150</t>
  </si>
  <si>
    <t>Macaroni Sedani &amp;Chifferi Rigati</t>
  </si>
  <si>
    <t>5/10-rcvd docs, sent to agent, ori docs rcvd by agent. 12/10 until 13/10- pndg OGA approval. 13/10- agent will submit manually</t>
  </si>
  <si>
    <t>FFAU7574214</t>
  </si>
  <si>
    <t xml:space="preserve">Mac Fusilli &amp; Rice Mac Sedani </t>
  </si>
  <si>
    <t>PIDU4284525</t>
  </si>
  <si>
    <t>COAU9510018960</t>
  </si>
  <si>
    <t>OOCU7960257</t>
  </si>
  <si>
    <t>TEXTURED SOYBEAN PROTEIN WILTEX 104 25KG SSTE</t>
  </si>
  <si>
    <t>5/10 until 7/10-mrktg sent docs to agent, pndg C3 letter for SSTE application. 8/10 - rcvd c3 letter, sent sste cert to agent. 9/10 until 11/10- no update from agent. 12/10- rcvd draft k1. 13/10 until 18/10- K1 draft confirmed, pndg customs approval. 19/10- ppr approved. 20/10 until 21/10- pending delivery as wtg for whs space.</t>
  </si>
  <si>
    <t>ACD0924373</t>
  </si>
  <si>
    <t>TLLU2810250</t>
  </si>
  <si>
    <t>ETA 16/10</t>
  </si>
  <si>
    <t>15/10- K1 confirmed</t>
  </si>
  <si>
    <t>ONEYAKL600642200</t>
  </si>
  <si>
    <t>PIDU2016457</t>
  </si>
  <si>
    <t>ETA 15/10</t>
  </si>
  <si>
    <t>PIDU2085205</t>
  </si>
  <si>
    <t>ONEYAKLG15275900</t>
  </si>
  <si>
    <t>ONEU3208458</t>
  </si>
  <si>
    <t>ETA 02/11</t>
  </si>
  <si>
    <t>CAAU2955575</t>
  </si>
  <si>
    <t>SGN601734100</t>
  </si>
  <si>
    <t>GCXU5107967</t>
  </si>
  <si>
    <t>8/10- rcvd, sent to agent, pndg coo &amp; insurance. 11/10- rcvd draft K1, unable to confirm as pending coo from supplier. 12/10- coo &amp; insurance rcvd, sent to agent. 13/10- K1 draft confirmed. 15/10- pndg OGA approval.</t>
  </si>
  <si>
    <t>HPCU5398377</t>
  </si>
  <si>
    <t>8/10- rcvd, sent to agent, pndg coo &amp; insurance. 11/10- rcvd draft K1, unable to confirm as pending coo from supplier. 12/10- coo &amp; insurance rcvd, sent to agent. 13/10- K1 draft confirmed.</t>
  </si>
  <si>
    <t>PIDU4213183</t>
  </si>
  <si>
    <t>PIDU4367213</t>
  </si>
  <si>
    <t>EGLV050601149464</t>
  </si>
  <si>
    <t>EMCU6422464</t>
  </si>
  <si>
    <t>ETA 19/10</t>
  </si>
  <si>
    <t>9/10- permit applied (MAQ1032026Y0018298). 13/10- cust reduce qty, confirm with agent on permit applied. 15/10- permit sent to supplier. wtg cnntr details for insurance application.</t>
  </si>
  <si>
    <t>COAU9510197400</t>
  </si>
  <si>
    <t>CSGU6801332</t>
  </si>
  <si>
    <t>KNIFE-SHAVED NOODLES</t>
  </si>
  <si>
    <t>ETA 17/10</t>
  </si>
  <si>
    <t>VMLU3845804</t>
  </si>
  <si>
    <t>VS Original Soymilk UHT</t>
  </si>
  <si>
    <t>ETA 14/10</t>
  </si>
  <si>
    <t>15/10- K1 confirmed. 21/10- pndg OGA. 22/10- pndg customs approval. 23/10- OGA cleared, pndg paper approval.</t>
  </si>
  <si>
    <t>VMLU3812539</t>
  </si>
  <si>
    <t>VMLU3706075</t>
  </si>
  <si>
    <t>FCIU4575560</t>
  </si>
  <si>
    <t>VMLU3861750</t>
  </si>
  <si>
    <t>VS Cocoa Soymilk Bottle</t>
  </si>
  <si>
    <t>COAU6466811310</t>
  </si>
  <si>
    <t>CSGU2883456</t>
  </si>
  <si>
    <t>ETA 18/10</t>
  </si>
  <si>
    <t>SSTP, no SSTE cert. 13/10- Docs rcvd, sent PL &amp; COA to Maha.</t>
  </si>
  <si>
    <t>CSNU2357810</t>
  </si>
  <si>
    <t>CSNU2704740</t>
  </si>
  <si>
    <t>CSNU2872492</t>
  </si>
  <si>
    <t>COAU6466811170</t>
  </si>
  <si>
    <t>CSGU2850154</t>
  </si>
  <si>
    <t>OOCU0517714</t>
  </si>
  <si>
    <t>CSGU2004428</t>
  </si>
  <si>
    <t>CSGU2738777</t>
  </si>
  <si>
    <t>ACD0924388</t>
  </si>
  <si>
    <t>CXRU1645289</t>
  </si>
  <si>
    <t>ETA 25/10</t>
  </si>
  <si>
    <t>ACD0924380</t>
  </si>
  <si>
    <t>TGBU2584399</t>
  </si>
  <si>
    <t>MF UHT Milk Low Fat 1L</t>
  </si>
  <si>
    <t>ETA 29/10</t>
  </si>
  <si>
    <t>ECMU2827762</t>
  </si>
  <si>
    <t>VSBU2008743</t>
  </si>
  <si>
    <t>GRMU2413510</t>
  </si>
  <si>
    <t>VMLU3848547</t>
  </si>
  <si>
    <t>CRSU1308083</t>
  </si>
  <si>
    <t>GRMU3404318</t>
  </si>
  <si>
    <t>TTNU3462607</t>
  </si>
  <si>
    <t>V-Soy Multi-Grain Soymilk UHT</t>
  </si>
  <si>
    <t>CAIU2566473</t>
  </si>
  <si>
    <t>HCIU2077214</t>
  </si>
  <si>
    <t>VMLU3501985</t>
  </si>
  <si>
    <t>WFHU1194640</t>
  </si>
  <si>
    <t>VSMG No Sugar Added Soymilk UHT</t>
  </si>
  <si>
    <t>VMLU3857976</t>
  </si>
  <si>
    <t>V-Soy Cocoa Soymilk UHT</t>
  </si>
  <si>
    <t>TEMU5213067</t>
  </si>
  <si>
    <t>FTAU1406777</t>
  </si>
  <si>
    <t>V-Soy Low Sugar Soymilk UHT</t>
  </si>
  <si>
    <t>COAU6468413340</t>
  </si>
  <si>
    <t>TGBU8836224</t>
  </si>
  <si>
    <t>CSP WILCON SJ 25KG_SSTE</t>
  </si>
  <si>
    <t>COAU9510197120</t>
  </si>
  <si>
    <t>TIIU6335109</t>
  </si>
  <si>
    <t>SOYBEAN PROTEIN 25KG SSTE</t>
  </si>
  <si>
    <t>EGLV050601175244</t>
  </si>
  <si>
    <t>DRYU2992490</t>
  </si>
  <si>
    <t>ETA 22/10</t>
  </si>
  <si>
    <t>EGSU3451133</t>
  </si>
  <si>
    <t>EITU3285317</t>
  </si>
  <si>
    <t>EITU3071613</t>
  </si>
  <si>
    <t>SEKU1017151</t>
  </si>
  <si>
    <t>AKL600668100</t>
  </si>
  <si>
    <t>PIDU2011250</t>
  </si>
  <si>
    <t>ETA 05/11</t>
  </si>
  <si>
    <t>AKL600668200</t>
  </si>
  <si>
    <t>PCIU1982746</t>
  </si>
  <si>
    <t>MF UHT Milk Full Cream 200ml</t>
  </si>
  <si>
    <t>MEL600610600</t>
  </si>
  <si>
    <t>PCIU5841638</t>
  </si>
  <si>
    <t>AGM Chilled and Frozen</t>
  </si>
  <si>
    <t>ETA 01/11</t>
  </si>
  <si>
    <t>VMLU3846647</t>
  </si>
  <si>
    <t>ETA 26/10</t>
  </si>
  <si>
    <t>VMLU3844290</t>
  </si>
  <si>
    <t>VMLU3843463</t>
  </si>
  <si>
    <t>V-Soy Sugar Free Soymilk UHT</t>
  </si>
  <si>
    <t>VMLU3842488</t>
  </si>
  <si>
    <t>VMLU3849395</t>
  </si>
  <si>
    <t>TLLU2699315</t>
  </si>
  <si>
    <t>V-Soy Multi-Nuts Soymilk Bottle</t>
  </si>
  <si>
    <t>VMLU3839890</t>
  </si>
  <si>
    <t>VMLU3808966</t>
  </si>
  <si>
    <t>CRSU1180120</t>
  </si>
  <si>
    <t>VSMGS, VSLSS, VSMGNS</t>
  </si>
  <si>
    <t>SIBU</t>
  </si>
  <si>
    <t>TH260700008</t>
  </si>
  <si>
    <t>MTMU2885477</t>
  </si>
  <si>
    <t>VSO, VSMGB</t>
  </si>
  <si>
    <t>KK</t>
  </si>
  <si>
    <t>19/8- Pendg payment to agent, unable to deliver cntnr. FT 14-days combined</t>
  </si>
  <si>
    <t>CRSU1216182</t>
  </si>
  <si>
    <t>VSO, VSMG, VSLS</t>
  </si>
  <si>
    <t>DFSU1905960</t>
  </si>
  <si>
    <t>MTMU2899491</t>
  </si>
  <si>
    <t>VSMG, VSMGB</t>
  </si>
  <si>
    <t>MTMU2898812</t>
  </si>
  <si>
    <t>VSMGB, VSCOCOA</t>
  </si>
  <si>
    <t>VASLKRPEN019399</t>
  </si>
  <si>
    <t>VMLU3815245</t>
  </si>
  <si>
    <t>VSO, VSMGB, VSMGB</t>
  </si>
  <si>
    <t>PENANG</t>
  </si>
  <si>
    <t>K1 approved</t>
  </si>
  <si>
    <t>VMLU3856291</t>
  </si>
  <si>
    <t>VSMG, VSMGC</t>
  </si>
  <si>
    <t>VASLKRPEN019385</t>
  </si>
  <si>
    <t>VMLU3832561</t>
  </si>
  <si>
    <t>VASLKRPEN019384</t>
  </si>
  <si>
    <t>VMLU3834604</t>
  </si>
  <si>
    <t>BEAU2496432</t>
  </si>
  <si>
    <t>JB</t>
  </si>
  <si>
    <t>20/8-Pndg customs inspection on product.</t>
  </si>
  <si>
    <t>TCLU7630910</t>
  </si>
  <si>
    <t>BEAU2059617</t>
  </si>
  <si>
    <t>17/8- Customs taking 1 carton for sample inspection. 20/8-Pndg customs inspection on product.</t>
  </si>
  <si>
    <t>SEGU2253671</t>
  </si>
  <si>
    <t>TEMU1843999</t>
  </si>
  <si>
    <t>VSO, VSMGBC</t>
  </si>
  <si>
    <t>TH260400326</t>
  </si>
  <si>
    <t>MTMU2908700</t>
  </si>
  <si>
    <t>Swift bear all the DND charges</t>
  </si>
  <si>
    <t>CAAU2567013</t>
  </si>
  <si>
    <t>PRSU1572993</t>
  </si>
  <si>
    <t>SEGU3938799</t>
  </si>
  <si>
    <t>VMLU3818795</t>
  </si>
  <si>
    <t>VMLU3863562</t>
  </si>
  <si>
    <t>VMLU3830424</t>
  </si>
  <si>
    <t>VMLU3815800</t>
  </si>
  <si>
    <t>TRUCKING - KEP5323</t>
  </si>
  <si>
    <t>TGHU6968795</t>
  </si>
  <si>
    <t>CAIU3031732</t>
  </si>
  <si>
    <t>SEGU3942280</t>
  </si>
  <si>
    <t>VMLU3836593</t>
  </si>
  <si>
    <t>VMLU3810475</t>
  </si>
  <si>
    <t>GRMU3404220</t>
  </si>
  <si>
    <t>VMLU3815076</t>
  </si>
  <si>
    <t>TLLU8155915</t>
  </si>
  <si>
    <t xml:space="preserve">T/B 8282        </t>
  </si>
  <si>
    <t>BJH 3667</t>
  </si>
  <si>
    <t>PGU9735</t>
  </si>
  <si>
    <t>FSCU9994423</t>
  </si>
  <si>
    <t>14/10- MOH took samples for checking, agent will verify the qty.</t>
  </si>
  <si>
    <t>VMLU3704750</t>
  </si>
  <si>
    <t>ETA 27/10</t>
  </si>
  <si>
    <t>TRHU2768168</t>
  </si>
  <si>
    <t>TRHU2492608</t>
  </si>
  <si>
    <t>CRSU1233261</t>
  </si>
  <si>
    <t>ETA 03/11</t>
  </si>
  <si>
    <t>TEMU0269084</t>
  </si>
  <si>
    <t>CAIU3570267</t>
  </si>
  <si>
    <t>Count of DEM TO PAY / DAYS</t>
  </si>
  <si>
    <t>Column Labels</t>
  </si>
  <si>
    <t>Row Labels</t>
  </si>
  <si>
    <t>No</t>
  </si>
  <si>
    <t>To Paid</t>
  </si>
  <si>
    <t>(blank)</t>
  </si>
  <si>
    <t>Grand Total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</si>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</sst>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Red]#,##0_);\(#,##0\)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72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1" xfId="0" quotePrefix="1" applyNumberFormat="1" applyBorder="1"/>
    <xf numFmtId="164" fontId="4" fillId="0" borderId="1" xfId="0" applyNumberFormat="1" applyFont="1" applyBorder="1"/>
    <xf numFmtId="164" fontId="0" fillId="0" borderId="0" xfId="0" applyNumberFormat="1"/>
    <xf numFmtId="165" fontId="4" fillId="0" borderId="1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4" fillId="0" borderId="0" xfId="0" applyNumberFormat="1" applyFont="1" applyAlignment="1">
      <alignment horizontal="center"/>
    </xf>
    <xf numFmtId="0" fontId="0" fillId="0" borderId="1" xfId="0" applyBorder="1" applyAlignment="1">
      <alignment horizontal="left"/>
    </xf>
    <xf numFmtId="165" fontId="6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0" fillId="0" borderId="1" xfId="0" applyBorder="1" applyAlignment="1">
      <alignment horizontal="right" wrapText="1"/>
    </xf>
    <xf numFmtId="0" fontId="10" fillId="0" borderId="0" xfId="0" applyFont="1"/>
    <xf numFmtId="0" fontId="11" fillId="0" borderId="1" xfId="0" applyFont="1" applyBorder="1"/>
    <xf numFmtId="0" fontId="1" fillId="0" borderId="1" xfId="0" applyFont="1" applyBorder="1" applyAlignment="1">
      <alignment horizontal="left"/>
    </xf>
    <xf numFmtId="0" fontId="1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/>
    <xf numFmtId="0" fontId="9" fillId="0" borderId="1" xfId="0" applyFont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FF33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[IMPORT DELIVERY SHIPMENTS (1).xlsx]Sheet3!PivotTable2</c:name>
    <c:fmtId val="4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C-425D-981C-8B62B7DB361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To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4C-425D-981C-8B62B7DB361E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1">
                  <c:v>16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4C-425D-981C-8B62B7DB3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3366847"/>
        <c:axId val="903368287"/>
      </c:barChart>
      <c:catAx>
        <c:axId val="90336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368287"/>
        <c:crosses val="autoZero"/>
        <c:auto val="1"/>
        <c:lblAlgn val="ctr"/>
        <c:lblOffset val="100"/>
        <c:noMultiLvlLbl val="0"/>
      </c:catAx>
      <c:valAx>
        <c:axId val="90336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36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1</xdr:row>
      <xdr:rowOff>68580</xdr:rowOff>
    </xdr:from>
    <xdr:to>
      <xdr:col>17</xdr:col>
      <xdr:colOff>556260</xdr:colOff>
      <xdr:row>21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B8F173-4654-688A-5718-BF03981BC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irunnisa, RAMDAM (FMSB)" refreshedDate="46201.818554513891" createdVersion="8" refreshedVersion="8" minRefreshableVersion="3" recordCount="174" xr:uid="{304AB12E-3A5F-43FE-BAC6-F2D2FD71BFD3}">
  <cacheSource type="worksheet">
    <worksheetSource ref="A3:V6" sheet="MAY-JULY"/>
  </cacheSource>
  <cacheFields count="23">
    <cacheField name="NO" numFmtId="0">
      <sharedItems containsSemiMixedTypes="0" containsString="0" containsNumber="1" containsInteger="1" minValue="0" maxValue="174"/>
    </cacheField>
    <cacheField name="SUPPLIER" numFmtId="0">
      <sharedItems containsBlank="1" count="13">
        <s v="GREENSPOT"/>
        <s v="GOODMAN FIELDER "/>
        <s v="MARINA PATAYA"/>
        <s v="YIHAI KERRY"/>
        <s v="YIHAI KERRY "/>
        <s v="ARAWANA "/>
        <s v="YIHAI"/>
        <s v="WILMAR"/>
        <s v="MARINA PATTANI"/>
        <s v="MEIZAN"/>
        <s v="WILCON"/>
        <s v="WILPRO"/>
        <m/>
      </sharedItems>
    </cacheField>
    <cacheField name="BL NO" numFmtId="0">
      <sharedItems containsBlank="1"/>
    </cacheField>
    <cacheField name="CNTNR NO" numFmtId="0">
      <sharedItems containsBlank="1"/>
    </cacheField>
    <cacheField name="PO NO" numFmtId="0">
      <sharedItems containsString="0" containsBlank="1" containsNumber="1" containsInteger="1" minValue="1510002149" maxValue="9700018210"/>
    </cacheField>
    <cacheField name="STATUS" numFmtId="0">
      <sharedItems containsBlank="1"/>
    </cacheField>
    <cacheField name="ITEMS" numFmtId="0">
      <sharedItems containsBlank="1" count="34">
        <s v="VSOY"/>
        <s v="MF L/FAT UHT MILK 1L"/>
        <s v="MF WHIPPING CREAM"/>
        <s v="MARINA TUNA"/>
        <s v="WILCON SJ SSTE"/>
        <s v="DMH"/>
        <s v="SESAME OIL (LCL)"/>
        <s v="DMH 25kg"/>
        <s v="WILCON"/>
        <s v="WILTEX"/>
        <s v="PRAISE &amp; GNC"/>
        <s v="CHILL SPREAD FROZEN"/>
        <s v="MF F/CREAM UHT MILK 1L"/>
        <s v="MSG 50 / 80 MESH"/>
        <s v="WILCON T201B SSTP"/>
        <s v="MARINA SARDINES"/>
        <s v="CORN STARCH 25kg"/>
        <s v="WILCON SJ SSTE 25 KG"/>
        <s v="VP1000 4X5KG (BOX)"/>
        <s v="WILCON T201B SSTE 20KG"/>
        <s v="SPREADS AND PAMPAS FILLO"/>
        <s v="Wilcon SJ SSTE 25kg"/>
        <s v="Wilcon T201B SSTP 20kg"/>
        <s v="Meizan Vege Noodles 250g"/>
        <s v="Meizan Egg Noodles 500g"/>
        <s v="Meizan Egg Noodles 250g"/>
        <s v="Macaroni  400g Chifferi"/>
        <s v="Macaroni 400g Sedani Rigati"/>
        <s v="Macaroni 300g Fussili"/>
        <s v="Rice Macaroni 400g Sedani Rigati"/>
        <s v="Wilcon SJ SSTE / SSTP 25kg"/>
        <s v="Wilpro G100 20kg"/>
        <s v="Wiltex 104 20kg / Wilcon SJ 25kg"/>
        <m/>
      </sharedItems>
    </cacheField>
    <cacheField name="DELIVERY LOC" numFmtId="0">
      <sharedItems containsBlank="1"/>
    </cacheField>
    <cacheField name="VESSEL ETA" numFmtId="164">
      <sharedItems containsNonDate="0" containsDate="1" containsString="0" containsBlank="1" minDate="2026-03-16T00:00:00" maxDate="2026-07-07T00:00:00" count="41">
        <d v="2026-05-05T00:00:00"/>
        <d v="2026-05-08T00:00:00"/>
        <d v="2026-05-07T00:00:00"/>
        <d v="2026-04-17T00:00:00"/>
        <d v="2026-04-29T00:00:00"/>
        <d v="2026-04-27T00:00:00"/>
        <d v="2026-03-16T00:00:00"/>
        <d v="2026-04-02T00:00:00"/>
        <d v="2026-04-16T00:00:00"/>
        <d v="2026-03-27T00:00:00"/>
        <d v="2026-04-18T00:00:00"/>
        <d v="2026-04-14T00:00:00"/>
        <d v="2026-05-02T00:00:00"/>
        <d v="2026-05-18T00:00:00"/>
        <d v="2026-05-14T00:00:00"/>
        <d v="2026-05-17T00:00:00"/>
        <d v="2026-06-03T00:00:00"/>
        <d v="2026-05-27T00:00:00"/>
        <d v="2026-05-01T00:00:00"/>
        <d v="2026-06-23T00:00:00"/>
        <d v="2026-06-11T00:00:00"/>
        <d v="2026-05-28T00:00:00"/>
        <d v="2026-05-29T00:00:00"/>
        <d v="2026-05-21T00:00:00"/>
        <d v="2026-04-20T00:00:00"/>
        <d v="2026-05-26T00:00:00"/>
        <d v="2026-06-08T00:00:00"/>
        <d v="2026-05-13T00:00:00"/>
        <d v="2026-06-21T00:00:00"/>
        <d v="2026-06-10T00:00:00"/>
        <d v="2026-06-20T00:00:00"/>
        <d v="2026-06-19T00:00:00"/>
        <d v="2026-06-13T00:00:00"/>
        <d v="2026-06-18T00:00:00"/>
        <d v="2026-06-24T00:00:00"/>
        <d v="2026-06-16T00:00:00"/>
        <d v="2026-06-22T00:00:00"/>
        <d v="2026-07-06T00:00:00"/>
        <d v="2026-06-26T00:00:00"/>
        <m/>
        <d v="2026-06-27T00:00:00"/>
      </sharedItems>
      <fieldGroup par="22"/>
    </cacheField>
    <cacheField name="DELIVERED" numFmtId="164">
      <sharedItems containsNonDate="0" containsDate="1" containsString="0" containsBlank="1" minDate="2026-02-23T00:00:00" maxDate="2026-06-27T00:00:00"/>
    </cacheField>
    <cacheField name="RFC" numFmtId="164">
      <sharedItems containsNonDate="0" containsDate="1" containsString="0" containsBlank="1" minDate="2026-04-27T00:00:00" maxDate="2026-06-26T00:00:00"/>
    </cacheField>
    <cacheField name="MT RETURN" numFmtId="164">
      <sharedItems containsNonDate="0" containsDate="1" containsString="0" containsBlank="1" minDate="2026-04-27T00:00:00" maxDate="2026-06-21T00:00:00"/>
    </cacheField>
    <cacheField name="FORWARDING AGENT" numFmtId="0">
      <sharedItems containsBlank="1"/>
    </cacheField>
    <cacheField name="DEM FREE TIME" numFmtId="0">
      <sharedItems containsString="0" containsBlank="1" containsNumber="1" containsInteger="1" minValue="10" maxValue="21"/>
    </cacheField>
    <cacheField name="DET FREE TIME" numFmtId="0">
      <sharedItems containsString="0" containsBlank="1" containsNumber="1" containsInteger="1" minValue="0" maxValue="14"/>
    </cacheField>
    <cacheField name="LAST DAY FT DEM" numFmtId="164">
      <sharedItems containsNonDate="0" containsDate="1" containsString="0" containsBlank="1" minDate="2026-06-06T00:00:00" maxDate="2026-07-07T00:00:00"/>
    </cacheField>
    <cacheField name="LAST DAY FT DET" numFmtId="164">
      <sharedItems containsNonDate="0" containsDate="1" containsString="0" containsBlank="1" minDate="1900-01-08T00:00:00" maxDate="2026-07-06T00:00:00"/>
    </cacheField>
    <cacheField name="DEM TO PAY / DAYS" numFmtId="165">
      <sharedItems containsString="0" containsBlank="1" containsNumber="1" containsInteger="1" minValue="-46209" maxValue="46209"/>
    </cacheField>
    <cacheField name="DET TO PAY / DAYS" numFmtId="0">
      <sharedItems containsString="0" containsBlank="1" containsNumber="1" containsInteger="1" minValue="-46208" maxValue="0"/>
    </cacheField>
    <cacheField name="STATUS2" numFmtId="0">
      <sharedItems containsBlank="1" count="3">
        <m/>
        <s v="To Paid"/>
        <s v="No"/>
      </sharedItems>
    </cacheField>
    <cacheField name="REMARKS" numFmtId="0">
      <sharedItems containsBlank="1" longText="1"/>
    </cacheField>
    <cacheField name="Days (VESSEL ETA)" numFmtId="0" databaseField="0">
      <fieldGroup base="8">
        <rangePr groupBy="days" startDate="2026-03-16T00:00:00" endDate="2026-07-07T00:00:00"/>
        <groupItems count="368">
          <s v="&lt;16-03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7-07-26"/>
        </groupItems>
      </fieldGroup>
    </cacheField>
    <cacheField name="Months (VESSEL ETA)" numFmtId="0" databaseField="0">
      <fieldGroup base="8">
        <rangePr groupBy="months" startDate="2026-03-16T00:00:00" endDate="2026-07-07T00:00:00"/>
        <groupItems count="14">
          <s v="&lt;16-03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07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n v="1"/>
    <x v="0"/>
    <m/>
    <s v="JHSU2672990"/>
    <n v="9700017912"/>
    <s v="DELIVERED"/>
    <x v="0"/>
    <s v="SG BULOH"/>
    <x v="0"/>
    <m/>
    <d v="2026-05-18T00:00:00"/>
    <d v="2026-05-20T00:00:00"/>
    <s v="MULTI-TRANS"/>
    <m/>
    <m/>
    <m/>
    <m/>
    <m/>
    <m/>
    <x v="0"/>
    <s v="Paper released 8/5"/>
  </r>
  <r>
    <n v="2"/>
    <x v="1"/>
    <m/>
    <s v="UETU2228835"/>
    <n v="1510002572"/>
    <s v="DELIVERED"/>
    <x v="1"/>
    <s v="SG BULOH"/>
    <x v="1"/>
    <d v="2026-06-02T00:00:00"/>
    <d v="2026-06-03T00:00:00"/>
    <d v="2026-06-03T00:00:00"/>
    <s v="SWIFT"/>
    <m/>
    <m/>
    <m/>
    <m/>
    <m/>
    <m/>
    <x v="0"/>
    <s v="Deliver today 8/5, pending EDO rlse"/>
  </r>
  <r>
    <n v="3"/>
    <x v="1"/>
    <m/>
    <s v="SEGU9267804"/>
    <n v="1510002606"/>
    <s v="DELIVERED"/>
    <x v="2"/>
    <s v="SG BULOH"/>
    <x v="2"/>
    <d v="2026-05-15T00:00:00"/>
    <d v="2026-05-17T00:00:00"/>
    <d v="2026-05-18T00:00:00"/>
    <s v="SWIFT"/>
    <m/>
    <m/>
    <m/>
    <m/>
    <m/>
    <m/>
    <x v="0"/>
    <s v="K1 approved 6/5/26"/>
  </r>
  <r>
    <n v="4"/>
    <x v="1"/>
    <m/>
    <s v="TRIU6648483"/>
    <n v="1510002566"/>
    <s v="DELIVERED"/>
    <x v="2"/>
    <s v="SG BULOH"/>
    <x v="3"/>
    <d v="2026-05-13T00:00:00"/>
    <d v="2026-05-14T00:00:00"/>
    <d v="2026-05-15T00:00:00"/>
    <s v="SWIFT"/>
    <m/>
    <m/>
    <m/>
    <m/>
    <m/>
    <m/>
    <x v="0"/>
    <s v="K1 approved 5/5/26, EDO rlsed by Mtrans, pndg payment to CMA, hold EDO, PA rcvd from Bersatu 26/05."/>
  </r>
  <r>
    <n v="5"/>
    <x v="2"/>
    <m/>
    <s v="EGSU3663180"/>
    <n v="1510002474"/>
    <s v="DELIVERED"/>
    <x v="3"/>
    <s v="SG BULOH"/>
    <x v="4"/>
    <d v="2026-05-08T00:00:00"/>
    <d v="2026-05-13T00:00:00"/>
    <d v="2026-05-13T00:00:00"/>
    <s v="MULTI-TRANS"/>
    <m/>
    <m/>
    <m/>
    <m/>
    <m/>
    <m/>
    <x v="0"/>
    <m/>
  </r>
  <r>
    <n v="6"/>
    <x v="3"/>
    <m/>
    <s v="OOCU1198150"/>
    <n v="1510002694"/>
    <s v="DELIVERED"/>
    <x v="4"/>
    <s v="FFM MALACCA"/>
    <x v="5"/>
    <d v="2026-05-16T00:00:00"/>
    <d v="2026-05-18T00:00:00"/>
    <d v="2026-05-18T00:00:00"/>
    <s v="SWIFT"/>
    <m/>
    <m/>
    <m/>
    <m/>
    <m/>
    <m/>
    <x v="0"/>
    <m/>
  </r>
  <r>
    <n v="7"/>
    <x v="4"/>
    <m/>
    <s v="TXGU7842797"/>
    <n v="1510002786"/>
    <s v="DELIVERED"/>
    <x v="5"/>
    <s v="FFM IPOH"/>
    <x v="2"/>
    <d v="2026-05-09T00:00:00"/>
    <d v="2026-05-11T00:00:00"/>
    <d v="2026-05-01T00:00:00"/>
    <s v="SWIFT"/>
    <m/>
    <m/>
    <m/>
    <m/>
    <m/>
    <m/>
    <x v="0"/>
    <s v="Pending Maqis &amp; custom approval 8/5"/>
  </r>
  <r>
    <n v="8"/>
    <x v="5"/>
    <m/>
    <s v="NO CONTAINER"/>
    <n v="1510002760"/>
    <s v="DELIVERED"/>
    <x v="6"/>
    <s v="SG BULOH"/>
    <x v="5"/>
    <d v="2026-05-14T00:00:00"/>
    <d v="2026-05-14T00:00:00"/>
    <d v="2026-05-14T00:00:00"/>
    <s v="MULTI-TRANS"/>
    <m/>
    <m/>
    <m/>
    <m/>
    <m/>
    <m/>
    <x v="0"/>
    <s v="Pending OGA approval"/>
  </r>
  <r>
    <n v="9"/>
    <x v="6"/>
    <m/>
    <s v="TIIU2233080"/>
    <n v="1510002624"/>
    <s v="DELIVERED"/>
    <x v="7"/>
    <s v="BUKIT RAJA"/>
    <x v="6"/>
    <d v="2026-04-28T00:00:00"/>
    <d v="2026-04-30T00:00:00"/>
    <d v="2026-05-01T00:00:00"/>
    <s v="SWIFT"/>
    <m/>
    <m/>
    <m/>
    <m/>
    <m/>
    <m/>
    <x v="0"/>
    <m/>
  </r>
  <r>
    <n v="10"/>
    <x v="6"/>
    <m/>
    <s v="CSNU2361851"/>
    <n v="1510002624"/>
    <s v="DELIVERED"/>
    <x v="7"/>
    <s v="BUKIT RAJA"/>
    <x v="6"/>
    <d v="2026-04-23T00:00:00"/>
    <d v="2026-04-28T00:00:00"/>
    <d v="2026-04-28T00:00:00"/>
    <s v="SWIFT"/>
    <m/>
    <m/>
    <m/>
    <m/>
    <m/>
    <m/>
    <x v="0"/>
    <m/>
  </r>
  <r>
    <n v="11"/>
    <x v="6"/>
    <m/>
    <s v="TIIU2479746"/>
    <n v="1510002624"/>
    <s v="DELIVERED"/>
    <x v="7"/>
    <s v="BUKIT RAJA"/>
    <x v="6"/>
    <d v="2026-04-28T00:00:00"/>
    <d v="2026-04-30T00:00:00"/>
    <d v="2026-05-01T00:00:00"/>
    <s v="SWIFT"/>
    <m/>
    <m/>
    <m/>
    <m/>
    <m/>
    <m/>
    <x v="0"/>
    <m/>
  </r>
  <r>
    <n v="12"/>
    <x v="6"/>
    <m/>
    <s v="OOCU0874368"/>
    <n v="1510002624"/>
    <s v="DELIVERED"/>
    <x v="7"/>
    <s v="BUKIT RAJA"/>
    <x v="6"/>
    <d v="2026-04-23T00:00:00"/>
    <d v="2026-04-30T00:00:00"/>
    <d v="2026-05-01T00:00:00"/>
    <s v="SWIFT"/>
    <m/>
    <m/>
    <m/>
    <m/>
    <m/>
    <m/>
    <x v="0"/>
    <m/>
  </r>
  <r>
    <n v="13"/>
    <x v="6"/>
    <m/>
    <s v="CSNU2791987"/>
    <n v="1510002625"/>
    <s v="DELIVERED"/>
    <x v="7"/>
    <s v="BUKIT RAJA"/>
    <x v="6"/>
    <d v="2026-05-01T00:00:00"/>
    <d v="2026-05-02T00:00:00"/>
    <d v="2026-05-02T00:00:00"/>
    <s v="SWIFT"/>
    <m/>
    <m/>
    <m/>
    <m/>
    <m/>
    <m/>
    <x v="0"/>
    <m/>
  </r>
  <r>
    <n v="14"/>
    <x v="6"/>
    <m/>
    <s v="TIIU2185593"/>
    <n v="1510002625"/>
    <s v="DELIVERED"/>
    <x v="7"/>
    <s v="BUKIT RAJA"/>
    <x v="6"/>
    <d v="2026-05-01T00:00:00"/>
    <d v="2026-05-02T00:00:00"/>
    <d v="2026-05-03T00:00:00"/>
    <s v="SWIFT"/>
    <m/>
    <m/>
    <m/>
    <m/>
    <m/>
    <m/>
    <x v="0"/>
    <m/>
  </r>
  <r>
    <n v="15"/>
    <x v="6"/>
    <m/>
    <s v="CSNU2400916"/>
    <n v="1510002625"/>
    <s v="DELIVERED"/>
    <x v="7"/>
    <s v="BUKIT RAJA"/>
    <x v="6"/>
    <d v="2026-05-01T00:00:00"/>
    <d v="2026-05-02T00:00:00"/>
    <d v="2026-05-02T00:00:00"/>
    <s v="SWIFT"/>
    <m/>
    <m/>
    <m/>
    <m/>
    <m/>
    <m/>
    <x v="0"/>
    <m/>
  </r>
  <r>
    <n v="16"/>
    <x v="6"/>
    <m/>
    <s v="CSGU2209794"/>
    <n v="1510002625"/>
    <s v="DELIVERED"/>
    <x v="7"/>
    <s v="BUKIT RAJA"/>
    <x v="6"/>
    <d v="2026-05-02T00:00:00"/>
    <d v="2026-05-04T00:00:00"/>
    <d v="2026-05-05T00:00:00"/>
    <s v="SWIFT"/>
    <m/>
    <m/>
    <m/>
    <m/>
    <m/>
    <m/>
    <x v="0"/>
    <m/>
  </r>
  <r>
    <n v="17"/>
    <x v="6"/>
    <m/>
    <s v="CSNU2664821"/>
    <n v="1510002627"/>
    <s v="DELIVERED"/>
    <x v="7"/>
    <s v="BUKIT RAJA"/>
    <x v="7"/>
    <d v="2026-05-03T00:00:00"/>
    <d v="2026-05-05T00:00:00"/>
    <d v="2026-05-05T00:00:00"/>
    <s v="SWIFT"/>
    <m/>
    <m/>
    <m/>
    <m/>
    <m/>
    <m/>
    <x v="0"/>
    <m/>
  </r>
  <r>
    <n v="18"/>
    <x v="6"/>
    <m/>
    <s v="CSNU2602820"/>
    <n v="1510002627"/>
    <s v="DELIVERED"/>
    <x v="7"/>
    <s v="BUKIT RAJA"/>
    <x v="7"/>
    <d v="2026-05-03T00:00:00"/>
    <d v="2026-05-04T00:00:00"/>
    <d v="2026-05-05T00:00:00"/>
    <s v="SWIFT"/>
    <m/>
    <m/>
    <m/>
    <m/>
    <m/>
    <m/>
    <x v="0"/>
    <s v="1 damaged bag during unstuffing"/>
  </r>
  <r>
    <n v="19"/>
    <x v="6"/>
    <m/>
    <s v="GCXU2430071"/>
    <n v="1510002627"/>
    <s v="DELIVERED"/>
    <x v="7"/>
    <s v="BUKIT RAJA"/>
    <x v="7"/>
    <d v="2026-05-05T00:00:00"/>
    <d v="2026-05-05T00:00:00"/>
    <d v="2026-05-07T00:00:00"/>
    <s v="SWIFT"/>
    <m/>
    <m/>
    <m/>
    <m/>
    <m/>
    <m/>
    <x v="0"/>
    <m/>
  </r>
  <r>
    <n v="20"/>
    <x v="6"/>
    <m/>
    <s v="CSNU2220621"/>
    <n v="1510002627"/>
    <s v="DELIVERED"/>
    <x v="7"/>
    <s v="BUKIT RAJA"/>
    <x v="7"/>
    <d v="2026-05-03T00:00:00"/>
    <d v="2026-05-05T00:00:00"/>
    <d v="2026-05-06T00:00:00"/>
    <s v="SWIFT"/>
    <m/>
    <m/>
    <m/>
    <m/>
    <m/>
    <m/>
    <x v="0"/>
    <s v="Physical goods not tally with COA"/>
  </r>
  <r>
    <n v="21"/>
    <x v="6"/>
    <m/>
    <s v="CSNU2617239"/>
    <n v="1510002628"/>
    <s v="DELIVERED"/>
    <x v="7"/>
    <s v="BUKIT RAJA"/>
    <x v="8"/>
    <d v="2026-05-05T00:00:00"/>
    <d v="2026-05-06T00:00:00"/>
    <d v="2026-05-07T00:00:00"/>
    <s v="SWIFT"/>
    <m/>
    <m/>
    <m/>
    <m/>
    <m/>
    <m/>
    <x v="0"/>
    <m/>
  </r>
  <r>
    <n v="22"/>
    <x v="6"/>
    <m/>
    <s v="CSNU2792545"/>
    <n v="1510002628"/>
    <s v="DELIVERED"/>
    <x v="7"/>
    <s v="BUKIT RAJA"/>
    <x v="8"/>
    <d v="2026-05-07T00:00:00"/>
    <d v="2026-05-12T00:00:00"/>
    <d v="2026-05-12T00:00:00"/>
    <s v="SWIFT"/>
    <m/>
    <m/>
    <m/>
    <m/>
    <m/>
    <m/>
    <x v="0"/>
    <m/>
  </r>
  <r>
    <n v="23"/>
    <x v="6"/>
    <m/>
    <s v="CSNU2668616"/>
    <n v="1510002861"/>
    <s v="DELIVERED"/>
    <x v="7"/>
    <s v="BUKIT RAJA"/>
    <x v="8"/>
    <d v="2026-05-07T00:00:00"/>
    <d v="2026-05-11T00:00:00"/>
    <d v="2026-05-11T00:00:00"/>
    <s v="SWIFT"/>
    <m/>
    <m/>
    <m/>
    <m/>
    <m/>
    <m/>
    <x v="0"/>
    <s v="Short of paper pallet at 3PL whs"/>
  </r>
  <r>
    <n v="24"/>
    <x v="6"/>
    <m/>
    <s v="OOCU1163235"/>
    <n v="1510002861"/>
    <s v="DELIVERED"/>
    <x v="7"/>
    <s v="BUKIT RAJA"/>
    <x v="8"/>
    <d v="2026-05-07T00:00:00"/>
    <d v="2026-05-13T00:00:00"/>
    <d v="2026-05-13T00:00:00"/>
    <s v="SWIFT"/>
    <m/>
    <m/>
    <m/>
    <m/>
    <m/>
    <m/>
    <x v="0"/>
    <m/>
  </r>
  <r>
    <n v="25"/>
    <x v="6"/>
    <m/>
    <s v="FTAU1933762"/>
    <n v="1510002626"/>
    <s v="DELIVERED"/>
    <x v="7"/>
    <s v="BUKIT RAJA"/>
    <x v="9"/>
    <d v="2026-05-05T00:00:00"/>
    <d v="2026-05-06T00:00:00"/>
    <d v="2026-05-07T00:00:00"/>
    <s v="SWIFT"/>
    <m/>
    <m/>
    <m/>
    <m/>
    <m/>
    <m/>
    <x v="0"/>
    <m/>
  </r>
  <r>
    <n v="26"/>
    <x v="6"/>
    <m/>
    <s v="OOLU0444580"/>
    <n v="1510002626"/>
    <s v="DELIVERED"/>
    <x v="7"/>
    <s v="BUKIT RAJA"/>
    <x v="9"/>
    <d v="2026-05-05T00:00:00"/>
    <d v="2026-05-07T00:00:00"/>
    <d v="2026-05-09T00:00:00"/>
    <s v="SWIFT"/>
    <m/>
    <m/>
    <m/>
    <m/>
    <m/>
    <m/>
    <x v="0"/>
    <m/>
  </r>
  <r>
    <n v="27"/>
    <x v="6"/>
    <m/>
    <s v="CSGU2303054"/>
    <n v="1510002626"/>
    <s v="DELIVERED"/>
    <x v="7"/>
    <s v="BUKIT RAJA"/>
    <x v="9"/>
    <d v="2026-05-06T00:00:00"/>
    <d v="2026-05-11T00:00:00"/>
    <d v="2026-05-11T00:00:00"/>
    <s v="SWIFT"/>
    <m/>
    <m/>
    <m/>
    <m/>
    <m/>
    <m/>
    <x v="0"/>
    <m/>
  </r>
  <r>
    <n v="28"/>
    <x v="6"/>
    <m/>
    <s v="CSNU2195175"/>
    <n v="1510002626"/>
    <s v="DELIVERED"/>
    <x v="7"/>
    <s v="BUKIT RAJA"/>
    <x v="9"/>
    <d v="2026-05-06T00:00:00"/>
    <d v="2026-05-08T00:00:00"/>
    <d v="2026-05-09T00:00:00"/>
    <s v="SWIFT"/>
    <m/>
    <m/>
    <m/>
    <m/>
    <m/>
    <m/>
    <x v="0"/>
    <m/>
  </r>
  <r>
    <n v="29"/>
    <x v="6"/>
    <m/>
    <s v="OOCU0587840"/>
    <n v="1510002629"/>
    <s v="DELIVERED"/>
    <x v="7"/>
    <s v="BUKIT RAJA"/>
    <x v="10"/>
    <d v="2026-05-09T00:00:00"/>
    <d v="2026-05-13T00:00:00"/>
    <d v="2026-05-14T00:00:00"/>
    <s v="SWIFT"/>
    <m/>
    <m/>
    <m/>
    <m/>
    <m/>
    <m/>
    <x v="0"/>
    <m/>
  </r>
  <r>
    <n v="30"/>
    <x v="6"/>
    <m/>
    <s v="OOLU2397996"/>
    <n v="1510002629"/>
    <s v="DELIVERED"/>
    <x v="7"/>
    <s v="BUKIT RAJA"/>
    <x v="10"/>
    <d v="2026-05-09T00:00:00"/>
    <d v="2026-05-17T00:00:00"/>
    <d v="2026-05-17T00:00:00"/>
    <s v="SWIFT"/>
    <m/>
    <m/>
    <m/>
    <m/>
    <m/>
    <m/>
    <x v="0"/>
    <m/>
  </r>
  <r>
    <n v="31"/>
    <x v="6"/>
    <m/>
    <s v="TLLU2973637"/>
    <n v="1510002629"/>
    <s v="DELIVERED"/>
    <x v="7"/>
    <s v="BUKIT RAJA"/>
    <x v="10"/>
    <d v="2026-05-10T00:00:00"/>
    <d v="2026-05-14T00:00:00"/>
    <d v="2026-05-14T00:00:00"/>
    <s v="SWIFT"/>
    <m/>
    <m/>
    <m/>
    <m/>
    <m/>
    <m/>
    <x v="0"/>
    <m/>
  </r>
  <r>
    <n v="32"/>
    <x v="6"/>
    <m/>
    <s v="CSGU2237327"/>
    <n v="1510002629"/>
    <s v="DELIVERED"/>
    <x v="7"/>
    <s v="BUKIT RAJA"/>
    <x v="10"/>
    <d v="2026-05-06T00:00:00"/>
    <d v="2026-05-12T00:00:00"/>
    <d v="2026-05-13T00:00:00"/>
    <s v="SWIFT"/>
    <m/>
    <m/>
    <m/>
    <m/>
    <m/>
    <m/>
    <x v="0"/>
    <m/>
  </r>
  <r>
    <n v="33"/>
    <x v="6"/>
    <m/>
    <s v="CSNU2312409"/>
    <n v="1510002630"/>
    <s v="DELIVERED"/>
    <x v="7"/>
    <s v="BUKIT RAJA"/>
    <x v="4"/>
    <d v="2026-05-11T00:00:00"/>
    <d v="2026-05-18T00:00:00"/>
    <d v="2026-05-18T00:00:00"/>
    <s v="SWIFT"/>
    <m/>
    <m/>
    <m/>
    <m/>
    <m/>
    <m/>
    <x v="0"/>
    <s v="K1 approved 29/4/2026, wrongly delivered to Shopee whs i/o BR whs (14/5/26)"/>
  </r>
  <r>
    <n v="34"/>
    <x v="6"/>
    <m/>
    <s v="TIIU2187256"/>
    <n v="1510002630"/>
    <s v="DELIVERED"/>
    <x v="7"/>
    <s v="BUKIT RAJA"/>
    <x v="4"/>
    <d v="2026-05-11T00:00:00"/>
    <d v="2026-05-14T00:00:00"/>
    <d v="2026-05-15T00:00:00"/>
    <s v="SWIFT"/>
    <m/>
    <m/>
    <m/>
    <m/>
    <m/>
    <m/>
    <x v="0"/>
    <s v="K1 approved 29/4/2026"/>
  </r>
  <r>
    <n v="35"/>
    <x v="6"/>
    <m/>
    <s v="BMOU1656124"/>
    <n v="1510002630"/>
    <s v="DELIVERED"/>
    <x v="7"/>
    <s v="BUKIT RAJA"/>
    <x v="4"/>
    <d v="2026-05-11T00:00:00"/>
    <d v="2026-05-20T00:00:00"/>
    <d v="2026-05-20T00:00:00"/>
    <s v="SWIFT"/>
    <m/>
    <m/>
    <m/>
    <m/>
    <m/>
    <m/>
    <x v="0"/>
    <s v="K1 approved 29/4/2026"/>
  </r>
  <r>
    <n v="36"/>
    <x v="6"/>
    <m/>
    <s v="CSNU2384116"/>
    <n v="1510002630"/>
    <s v="DELIVERED"/>
    <x v="7"/>
    <s v="BUKIT RAJA"/>
    <x v="4"/>
    <d v="2026-05-15T00:00:00"/>
    <d v="2026-05-18T00:00:00"/>
    <d v="2026-05-19T00:00:00"/>
    <s v="SWIFT"/>
    <m/>
    <m/>
    <m/>
    <m/>
    <m/>
    <m/>
    <x v="0"/>
    <s v="K1 approved 29/4/2026"/>
  </r>
  <r>
    <n v="37"/>
    <x v="6"/>
    <m/>
    <s v="OOLU2477052"/>
    <n v="1510002631"/>
    <s v="DELIVERED"/>
    <x v="7"/>
    <s v="BUKIT RAJA"/>
    <x v="0"/>
    <d v="2026-05-18T00:00:00"/>
    <d v="2026-05-21T00:00:00"/>
    <d v="2026-05-23T00:00:00"/>
    <s v="SWIFT"/>
    <m/>
    <m/>
    <m/>
    <m/>
    <m/>
    <m/>
    <x v="0"/>
    <s v="K1 approved 07/05/2026"/>
  </r>
  <r>
    <n v="38"/>
    <x v="6"/>
    <m/>
    <s v="OOCU0455778"/>
    <n v="1510002631"/>
    <s v="DELIVERED"/>
    <x v="7"/>
    <s v="BUKIT RAJA"/>
    <x v="0"/>
    <d v="2026-05-18T00:00:00"/>
    <d v="2026-05-21T00:00:00"/>
    <d v="2026-05-23T00:00:00"/>
    <s v="SWIFT"/>
    <m/>
    <m/>
    <m/>
    <m/>
    <m/>
    <m/>
    <x v="0"/>
    <s v="K1 approved 07/05/2026"/>
  </r>
  <r>
    <n v="39"/>
    <x v="6"/>
    <m/>
    <s v="OOCU1124603"/>
    <n v="1510002631"/>
    <s v="DELIVERED"/>
    <x v="7"/>
    <s v="BUKIT RAJA"/>
    <x v="0"/>
    <d v="2026-05-16T00:00:00"/>
    <d v="2026-05-20T00:00:00"/>
    <d v="2026-05-20T00:00:00"/>
    <s v="SWIFT"/>
    <m/>
    <m/>
    <m/>
    <m/>
    <m/>
    <m/>
    <x v="0"/>
    <s v="K1 approved 07/05/2026"/>
  </r>
  <r>
    <n v="40"/>
    <x v="6"/>
    <m/>
    <s v="CSGU2222292"/>
    <n v="1510002631"/>
    <s v="DELIVERED"/>
    <x v="7"/>
    <s v="BUKIT RAJA"/>
    <x v="0"/>
    <d v="2026-05-16T00:00:00"/>
    <d v="2026-05-21T00:00:00"/>
    <d v="2026-05-24T00:00:00"/>
    <s v="SWIFT"/>
    <m/>
    <m/>
    <m/>
    <m/>
    <m/>
    <m/>
    <x v="0"/>
    <s v="K1 approved 07/05/2026"/>
  </r>
  <r>
    <n v="41"/>
    <x v="3"/>
    <m/>
    <s v="CSGU6269359"/>
    <n v="1510002339"/>
    <s v="DELIVERED"/>
    <x v="8"/>
    <s v="SG BULOH"/>
    <x v="1"/>
    <d v="2026-04-29T00:00:00"/>
    <d v="2026-04-30T00:00:00"/>
    <d v="2026-04-30T00:00:00"/>
    <s v="SWIFT"/>
    <m/>
    <m/>
    <m/>
    <m/>
    <m/>
    <m/>
    <x v="0"/>
    <m/>
  </r>
  <r>
    <n v="42"/>
    <x v="3"/>
    <m/>
    <s v="CSGU6269359"/>
    <n v="1510002339"/>
    <s v="DELIVERED"/>
    <x v="9"/>
    <s v="IPOH "/>
    <x v="1"/>
    <d v="2026-04-29T00:00:00"/>
    <d v="2026-04-30T00:00:00"/>
    <d v="2026-04-30T00:00:00"/>
    <s v="SWIFT"/>
    <m/>
    <m/>
    <m/>
    <m/>
    <m/>
    <m/>
    <x v="0"/>
    <m/>
  </r>
  <r>
    <n v="43"/>
    <x v="0"/>
    <m/>
    <s v="CRSU1249437"/>
    <n v="9700017861"/>
    <s v="DELIVERED"/>
    <x v="0"/>
    <s v="SG BULOH"/>
    <x v="11"/>
    <d v="2026-05-25T00:00:00"/>
    <d v="2026-05-30T00:00:00"/>
    <d v="2026-05-30T00:00:00"/>
    <s v="MULTI-TRANS"/>
    <m/>
    <m/>
    <m/>
    <m/>
    <m/>
    <m/>
    <x v="0"/>
    <m/>
  </r>
  <r>
    <n v="44"/>
    <x v="0"/>
    <m/>
    <s v="TGCU2169920"/>
    <n v="9700017861"/>
    <s v="DELIVERED"/>
    <x v="0"/>
    <s v="SG BULOH"/>
    <x v="11"/>
    <d v="2026-04-30T00:00:00"/>
    <d v="2026-05-06T00:00:00"/>
    <m/>
    <s v="MULTI-TRANS"/>
    <m/>
    <m/>
    <m/>
    <m/>
    <m/>
    <m/>
    <x v="0"/>
    <m/>
  </r>
  <r>
    <n v="45"/>
    <x v="0"/>
    <m/>
    <s v="MTMU2898453"/>
    <n v="9700017861"/>
    <s v="DELIVERED"/>
    <x v="0"/>
    <s v="SG BULOH"/>
    <x v="11"/>
    <d v="2026-05-02T00:00:00"/>
    <d v="2026-05-05T00:00:00"/>
    <m/>
    <s v="MULTI-TRANS"/>
    <m/>
    <m/>
    <m/>
    <m/>
    <m/>
    <m/>
    <x v="0"/>
    <m/>
  </r>
  <r>
    <n v="46"/>
    <x v="0"/>
    <m/>
    <s v="CRSU1195433"/>
    <n v="9700017861"/>
    <s v="DELIVERED"/>
    <x v="0"/>
    <s v="SG BULOH"/>
    <x v="11"/>
    <d v="2026-05-02T00:00:00"/>
    <d v="2026-05-07T00:00:00"/>
    <m/>
    <s v="MULTI-TRANS"/>
    <m/>
    <m/>
    <m/>
    <m/>
    <m/>
    <m/>
    <x v="0"/>
    <m/>
  </r>
  <r>
    <n v="47"/>
    <x v="0"/>
    <m/>
    <s v="CRSU1232692"/>
    <n v="9700017861"/>
    <s v="DELIVERED"/>
    <x v="0"/>
    <s v="SG BULOH"/>
    <x v="11"/>
    <d v="2026-05-05T00:00:00"/>
    <d v="2026-05-08T00:00:00"/>
    <m/>
    <s v="MULTI-TRANS"/>
    <m/>
    <m/>
    <m/>
    <m/>
    <m/>
    <m/>
    <x v="0"/>
    <m/>
  </r>
  <r>
    <n v="48"/>
    <x v="0"/>
    <m/>
    <s v="MTMU2893106"/>
    <n v="9700017861"/>
    <s v="DELIVERED"/>
    <x v="0"/>
    <s v="SG BULOH"/>
    <x v="11"/>
    <d v="2026-05-02T00:00:00"/>
    <d v="2026-05-08T00:00:00"/>
    <m/>
    <s v="MULTI-TRANS"/>
    <m/>
    <m/>
    <m/>
    <m/>
    <m/>
    <m/>
    <x v="0"/>
    <m/>
  </r>
  <r>
    <n v="49"/>
    <x v="0"/>
    <m/>
    <s v="SEGU3943481"/>
    <n v="9700017861"/>
    <s v="DELIVERED"/>
    <x v="0"/>
    <s v="SG BULOH"/>
    <x v="11"/>
    <d v="2026-05-05T00:00:00"/>
    <d v="2026-05-07T00:00:00"/>
    <m/>
    <s v="MULTI-TRANS"/>
    <m/>
    <m/>
    <m/>
    <m/>
    <m/>
    <m/>
    <x v="0"/>
    <m/>
  </r>
  <r>
    <n v="50"/>
    <x v="0"/>
    <m/>
    <s v="JHUSU2661039"/>
    <n v="9700017861"/>
    <s v="DELIVERED"/>
    <x v="0"/>
    <s v="SG BULOH"/>
    <x v="11"/>
    <d v="2026-05-05T00:00:00"/>
    <d v="2026-05-08T00:00:00"/>
    <m/>
    <s v="MULTI-TRANS"/>
    <m/>
    <m/>
    <m/>
    <m/>
    <m/>
    <m/>
    <x v="0"/>
    <m/>
  </r>
  <r>
    <n v="51"/>
    <x v="0"/>
    <m/>
    <s v="MTMU2890025"/>
    <n v="9700017861"/>
    <s v="DELIVERED"/>
    <x v="0"/>
    <s v="SG BULOH"/>
    <x v="11"/>
    <d v="2026-05-07T00:00:00"/>
    <d v="2026-05-13T00:00:00"/>
    <d v="2026-05-13T00:00:00"/>
    <s v="MULTI-TRANS"/>
    <m/>
    <m/>
    <m/>
    <m/>
    <m/>
    <m/>
    <x v="0"/>
    <m/>
  </r>
  <r>
    <n v="52"/>
    <x v="1"/>
    <m/>
    <s v="MSMU1873340"/>
    <n v="1510002823"/>
    <s v="DELIVERED"/>
    <x v="10"/>
    <s v="SG BULOH"/>
    <x v="12"/>
    <d v="2026-05-09T00:00:00"/>
    <d v="2026-05-11T00:00:00"/>
    <d v="2026-05-14T00:00:00"/>
    <s v="SWIFT"/>
    <m/>
    <m/>
    <m/>
    <m/>
    <m/>
    <m/>
    <x v="0"/>
    <m/>
  </r>
  <r>
    <n v="53"/>
    <x v="0"/>
    <m/>
    <s v="JHSU2674490"/>
    <n v="9700017861"/>
    <s v="DELIVERED"/>
    <x v="0"/>
    <s v="SG BULOH"/>
    <x v="11"/>
    <d v="2026-05-02T00:00:00"/>
    <d v="2026-05-06T00:00:00"/>
    <m/>
    <s v="MULTI-TRANS"/>
    <m/>
    <m/>
    <m/>
    <m/>
    <m/>
    <m/>
    <x v="0"/>
    <m/>
  </r>
  <r>
    <n v="54"/>
    <x v="1"/>
    <m/>
    <s v="OOLU6457476"/>
    <n v="1510002776"/>
    <s v="DELIVERED"/>
    <x v="11"/>
    <s v="PULAU INDAH"/>
    <x v="13"/>
    <m/>
    <m/>
    <m/>
    <s v="SWIFT"/>
    <m/>
    <m/>
    <m/>
    <m/>
    <m/>
    <m/>
    <x v="0"/>
    <s v="EDO released 21/05"/>
  </r>
  <r>
    <n v="55"/>
    <x v="1"/>
    <m/>
    <s v="CSNU1739361"/>
    <n v="1510002568"/>
    <s v="DELIVERED"/>
    <x v="12"/>
    <s v="SG BULOH"/>
    <x v="14"/>
    <d v="2026-05-22T00:00:00"/>
    <d v="2026-05-24T00:00:00"/>
    <d v="2026-05-24T00:00:00"/>
    <s v="SWIFT"/>
    <m/>
    <m/>
    <m/>
    <m/>
    <m/>
    <m/>
    <x v="0"/>
    <m/>
  </r>
  <r>
    <n v="56"/>
    <x v="1"/>
    <m/>
    <s v="CSNU2260882"/>
    <n v="1510002568"/>
    <s v="DELIVERED"/>
    <x v="12"/>
    <s v="SG BULOH"/>
    <x v="14"/>
    <d v="2026-05-21T00:00:00"/>
    <d v="2026-05-24T00:00:00"/>
    <d v="2026-05-25T00:00:00"/>
    <s v="SWIFT"/>
    <m/>
    <m/>
    <m/>
    <m/>
    <m/>
    <m/>
    <x v="0"/>
    <m/>
  </r>
  <r>
    <n v="57"/>
    <x v="7"/>
    <s v="COAU7268501100"/>
    <s v="CSLU2359034"/>
    <n v="1510002829"/>
    <s v="DELIVERED"/>
    <x v="13"/>
    <s v="SG BULOH"/>
    <x v="15"/>
    <d v="2026-05-25T00:00:00"/>
    <d v="2026-05-26T00:00:00"/>
    <d v="2026-06-02T00:00:00"/>
    <s v="SWIFT"/>
    <m/>
    <m/>
    <m/>
    <m/>
    <m/>
    <m/>
    <x v="0"/>
    <s v="To pay SST"/>
  </r>
  <r>
    <n v="58"/>
    <x v="7"/>
    <s v="COAU7268404710"/>
    <s v="CSNU6529218"/>
    <n v="1510002939"/>
    <s v="DELIVERED"/>
    <x v="14"/>
    <s v="SG BULOH"/>
    <x v="15"/>
    <d v="2026-05-24T00:00:00"/>
    <d v="2026-05-29T00:00:00"/>
    <d v="2026-06-01T00:00:00"/>
    <s v="SWIFT"/>
    <m/>
    <m/>
    <m/>
    <m/>
    <m/>
    <m/>
    <x v="0"/>
    <s v="To pay SST"/>
  </r>
  <r>
    <n v="59"/>
    <x v="7"/>
    <s v="COAU7268404710"/>
    <s v="OOCU7083306"/>
    <n v="1510002939"/>
    <s v="DELIVERED"/>
    <x v="14"/>
    <s v="SG BULOH"/>
    <x v="15"/>
    <d v="2026-05-24T00:00:00"/>
    <d v="2026-05-26T00:00:00"/>
    <d v="2026-05-26T00:00:00"/>
    <s v="SWIFT"/>
    <m/>
    <m/>
    <m/>
    <m/>
    <m/>
    <m/>
    <x v="0"/>
    <s v="To pay SST"/>
  </r>
  <r>
    <n v="60"/>
    <x v="8"/>
    <m/>
    <s v="TEMU5239919"/>
    <n v="1510002487"/>
    <s v="DELIVERED"/>
    <x v="15"/>
    <s v="SG BULOH"/>
    <x v="16"/>
    <d v="2026-06-12T00:00:00"/>
    <d v="2026-06-14T00:00:00"/>
    <d v="2026-06-15T00:00:00"/>
    <s v="MULTI-TRANS"/>
    <n v="14"/>
    <n v="0"/>
    <d v="2026-06-16T00:00:00"/>
    <m/>
    <n v="-1"/>
    <m/>
    <x v="0"/>
    <s v="MAQ1032026Y0007995 - Permit approved. 04/06 to 9/06 -  Pending OGA approval. 10/06 - OGA &amp; paper rlsed, ROT sent to haulier --&gt; COMBINE 14 DAYS DND"/>
  </r>
  <r>
    <n v="61"/>
    <x v="1"/>
    <m/>
    <s v="TEMU1746535"/>
    <n v="1510002568"/>
    <s v="DELIVERED"/>
    <x v="12"/>
    <s v="SG BULOH"/>
    <x v="17"/>
    <d v="2026-06-03T00:00:00"/>
    <d v="2026-06-06T00:00:00"/>
    <d v="2026-06-06T00:00:00"/>
    <s v="SWIFT"/>
    <m/>
    <m/>
    <m/>
    <m/>
    <m/>
    <m/>
    <x v="0"/>
    <m/>
  </r>
  <r>
    <n v="62"/>
    <x v="1"/>
    <m/>
    <s v="CMAU2308701"/>
    <n v="1510002568"/>
    <s v="DELIVERED"/>
    <x v="12"/>
    <s v="SG BULOH"/>
    <x v="17"/>
    <d v="2026-06-04T00:00:00"/>
    <d v="2026-06-06T00:00:00"/>
    <m/>
    <s v="SWIFT"/>
    <m/>
    <m/>
    <m/>
    <m/>
    <m/>
    <m/>
    <x v="0"/>
    <m/>
  </r>
  <r>
    <n v="63"/>
    <x v="1"/>
    <m/>
    <s v="CSNU1969148"/>
    <n v="1510002573"/>
    <s v="DELIVERED"/>
    <x v="12"/>
    <s v="SG BULOH"/>
    <x v="18"/>
    <d v="2026-05-11T00:00:00"/>
    <d v="2026-05-12T00:00:00"/>
    <d v="2026-05-13T00:00:00"/>
    <s v="SWIFT"/>
    <m/>
    <m/>
    <m/>
    <m/>
    <m/>
    <m/>
    <x v="0"/>
    <m/>
  </r>
  <r>
    <n v="64"/>
    <x v="1"/>
    <m/>
    <s v="OOCU0877834"/>
    <n v="1510002573"/>
    <s v="DELIVERED"/>
    <x v="12"/>
    <s v="SG BULOH"/>
    <x v="18"/>
    <d v="2026-05-09T00:00:00"/>
    <d v="2026-05-11T00:00:00"/>
    <d v="2026-05-12T00:00:00"/>
    <s v="SWIFT"/>
    <m/>
    <m/>
    <m/>
    <m/>
    <m/>
    <m/>
    <x v="0"/>
    <m/>
  </r>
  <r>
    <n v="65"/>
    <x v="8"/>
    <s v="SGZCB2600087201"/>
    <s v="BMOU1691383"/>
    <n v="1510002149"/>
    <s v="PENDING"/>
    <x v="15"/>
    <s v="SG BULOH"/>
    <x v="19"/>
    <m/>
    <m/>
    <m/>
    <s v="MULTI-TRANS"/>
    <n v="14"/>
    <n v="0"/>
    <d v="2026-07-06T00:00:00"/>
    <m/>
    <n v="-46209"/>
    <m/>
    <x v="0"/>
    <s v="MAQ1032026Y0007995. 8/6 - Vessel delay to 11/6. 10/6 - Draft K1 approved. 11/6 - Rev OBL rcvd. Wtg for departure. 17/6 - rcvd original docs by supplier. 22/6 - Pending OGA approval, LOI sent. 25/6 - Pndg OGA approval. FREE TIME DND: COMBINED 14 DAYS"/>
  </r>
  <r>
    <n v="66"/>
    <x v="8"/>
    <s v="SGZCB2600087201"/>
    <s v="TGBU3702747"/>
    <n v="1510002149"/>
    <s v="PENDING"/>
    <x v="15"/>
    <s v="SG BULOH"/>
    <x v="19"/>
    <m/>
    <m/>
    <m/>
    <s v="MULTI-TRANS"/>
    <n v="14"/>
    <n v="0"/>
    <d v="2026-07-06T00:00:00"/>
    <m/>
    <n v="-46209"/>
    <m/>
    <x v="0"/>
    <s v="MAQ1032026Y0007995. 8/6 - Vessel delay to 11/6. 10/6 - Draft K1 approved. 11/6 - Rev OBL rcvd. Wtg for departure. 17/6 - rcvd original docs by supplier. 22/6 - Pending OGA approval, LOI sent. 25/6 - Pndg OGA approval. FREE TIME DND: COMBINED 14 DAYS"/>
  </r>
  <r>
    <n v="67"/>
    <x v="2"/>
    <m/>
    <s v="TBA"/>
    <n v="1510002490"/>
    <s v="PENDING"/>
    <x v="3"/>
    <s v="SG BULOH"/>
    <x v="20"/>
    <m/>
    <m/>
    <m/>
    <s v="MULTI-TRANS"/>
    <m/>
    <m/>
    <m/>
    <m/>
    <m/>
    <m/>
    <x v="0"/>
    <s v="MAQ1032026Y0007995. 8/6 - Vessel delay to 11/6"/>
  </r>
  <r>
    <n v="68"/>
    <x v="2"/>
    <m/>
    <s v="SEGU3087045"/>
    <n v="1510002475"/>
    <s v="DELIVERED"/>
    <x v="3"/>
    <s v="SG BULOH"/>
    <x v="21"/>
    <d v="2026-06-12T00:00:00"/>
    <d v="2026-06-17T00:00:00"/>
    <d v="2026-06-18T00:00:00"/>
    <s v="MULTI-TRANS"/>
    <n v="14"/>
    <n v="0"/>
    <d v="2026-06-10T00:00:00"/>
    <m/>
    <n v="8"/>
    <m/>
    <x v="1"/>
    <s v="MAQ1032026Y0008002 - Permit approved. 02/06 - Paper approved. 10/06 - OGA &amp; paper rlsed, ROT sent to haulier --&gt; COMBINE 14 DAYS DND"/>
  </r>
  <r>
    <n v="69"/>
    <x v="6"/>
    <s v="COAU7268101550"/>
    <s v="CSGU2339695"/>
    <n v="1510002633"/>
    <s v="DELIVERED"/>
    <x v="7"/>
    <s v="BUKIT RAJA"/>
    <x v="15"/>
    <d v="2026-06-08T00:00:00"/>
    <m/>
    <m/>
    <s v="SWIFT"/>
    <m/>
    <m/>
    <m/>
    <m/>
    <m/>
    <m/>
    <x v="0"/>
    <s v="26/5 - Agent informed wrong HS code, rev c3 rcvd, sent to agent. 29/5 - K1 confirmed"/>
  </r>
  <r>
    <n v="70"/>
    <x v="6"/>
    <s v="COAU7268101550"/>
    <s v="CSGU2025360"/>
    <n v="1510002633"/>
    <s v="DELIVERED"/>
    <x v="7"/>
    <s v="BUKIT RAJA"/>
    <x v="15"/>
    <d v="2026-06-06T00:00:00"/>
    <m/>
    <m/>
    <s v="SWIFT"/>
    <m/>
    <m/>
    <m/>
    <m/>
    <m/>
    <m/>
    <x v="0"/>
    <s v="26/5 - Agent informed wrong HS code, rev c3 rcvd, sent to agent. 29/5 - K1 confirmed"/>
  </r>
  <r>
    <n v="71"/>
    <x v="6"/>
    <s v="COAU7268101550"/>
    <s v="CSGU2426315"/>
    <n v="1510002633"/>
    <s v="DELIVERED"/>
    <x v="7"/>
    <s v="BUKIT RAJA"/>
    <x v="15"/>
    <d v="2026-06-08T00:00:00"/>
    <m/>
    <m/>
    <s v="SWIFT"/>
    <m/>
    <m/>
    <m/>
    <m/>
    <m/>
    <m/>
    <x v="0"/>
    <s v="26/5 - Agent informed wrong HS code, rev c3 rcvd, sent to agent. 29/5 - K1 confirmed"/>
  </r>
  <r>
    <n v="72"/>
    <x v="6"/>
    <s v="COAU7268101550"/>
    <s v="OOCU0965663"/>
    <n v="1510002633"/>
    <s v="DELIVERED"/>
    <x v="7"/>
    <s v="BUKIT RAJA"/>
    <x v="15"/>
    <d v="2026-06-08T00:00:00"/>
    <m/>
    <m/>
    <s v="SWIFT"/>
    <m/>
    <m/>
    <m/>
    <m/>
    <m/>
    <m/>
    <x v="0"/>
    <s v="26/5 - Agent informed wrong HS code, rev c3 rcvd, sent to agent. 29/5 - K1 confirmed"/>
  </r>
  <r>
    <n v="73"/>
    <x v="6"/>
    <s v="COAU7268037170"/>
    <s v="CSNU2367037"/>
    <n v="1510002632"/>
    <s v="DELIVERED"/>
    <x v="7"/>
    <s v="BUKIT RAJA"/>
    <x v="15"/>
    <d v="2026-06-10T00:00:00"/>
    <d v="2026-06-13T00:00:00"/>
    <d v="2026-06-13T00:00:00"/>
    <s v="SWIFT"/>
    <m/>
    <m/>
    <m/>
    <m/>
    <m/>
    <m/>
    <x v="0"/>
    <s v="20/5 - K1 - wrong hs code. To flw up closely on delivery. 22/5-supplier will reissue C3 with correct hs code declared with MITI 28/5- Rev C3 letter rcvd, SSTE submitted. 29/5- Rev K1 draft rcvd &amp; confirmed. 10/6 - Req to deliver on 11/6"/>
  </r>
  <r>
    <n v="74"/>
    <x v="6"/>
    <s v="COAU7268037170"/>
    <s v="CSNU2954775"/>
    <n v="1510002632"/>
    <s v="DELIVERED"/>
    <x v="7"/>
    <s v="BUKIT RAJA"/>
    <x v="15"/>
    <d v="2026-06-11T00:00:00"/>
    <d v="2026-06-16T00:00:00"/>
    <d v="2026-05-17T00:00:00"/>
    <s v="SWIFT"/>
    <m/>
    <m/>
    <m/>
    <m/>
    <m/>
    <m/>
    <x v="0"/>
    <s v="20/5 - K1 - wrong hs code. To flw up closely on delivery. 22/5-supplier will reissue C3 with correct hs code declared with MITI 28/5- Rev C3 letter rcvd, SSTE submitted. 29/5- Rev K1 draft rcvd &amp; confirmed. 10/6 - Req to deliver on 11/6"/>
  </r>
  <r>
    <n v="75"/>
    <x v="6"/>
    <s v="COAU7268037170"/>
    <s v="OOLU2480992"/>
    <n v="1510002632"/>
    <s v="DELIVERED"/>
    <x v="7"/>
    <s v="BUKIT RAJA"/>
    <x v="15"/>
    <d v="2026-06-11T00:00:00"/>
    <d v="2026-06-13T00:00:00"/>
    <d v="2026-06-14T00:00:00"/>
    <s v="SWIFT"/>
    <m/>
    <m/>
    <m/>
    <m/>
    <m/>
    <m/>
    <x v="0"/>
    <s v="20/5 - K1 - wrong hs code. To flw up closely on delivery. 22/5-supplier will reissue C3 with correct hs code declared with MITI 28/5- Rev C3 letter rcvd, SSTE submitted. 29/5- Rev K1 draft rcvd &amp; confirmed. 10/6 - Req to deliver on 11/6"/>
  </r>
  <r>
    <n v="76"/>
    <x v="6"/>
    <s v="COAU7268037170"/>
    <s v="TIIU2461990"/>
    <n v="1510002632"/>
    <s v="DELIVERED"/>
    <x v="7"/>
    <s v="BUKIT RAJA"/>
    <x v="15"/>
    <d v="2026-06-11T00:00:00"/>
    <d v="2026-06-19T00:00:00"/>
    <d v="2026-06-20T00:00:00"/>
    <s v="SWIFT"/>
    <m/>
    <m/>
    <m/>
    <m/>
    <m/>
    <m/>
    <x v="0"/>
    <s v="20/5 - K1 - wrong hs code. To flw up closely on delivery. 22/5-supplier will reissue C3 with correct hs code declared with MITI 28/5- Rev C3 letter rcvd, SSTE submitted. 29/5- Rev K1 draft rcvd &amp; confirmed. 10/6 - Req to deliver on 11/6"/>
  </r>
  <r>
    <n v="77"/>
    <x v="6"/>
    <m/>
    <s v="OOCU0972106"/>
    <n v="1510002634"/>
    <s v="DELIVERED"/>
    <x v="7"/>
    <s v="BUKIT RAJA"/>
    <x v="22"/>
    <d v="2026-06-04T00:00:00"/>
    <d v="2026-06-09T00:00:00"/>
    <d v="2026-06-09T00:00:00"/>
    <s v="SWIFT"/>
    <m/>
    <m/>
    <m/>
    <m/>
    <m/>
    <m/>
    <x v="0"/>
    <s v="To pay SST - K1 confirmed 26/5"/>
  </r>
  <r>
    <n v="78"/>
    <x v="6"/>
    <m/>
    <s v="CSNU2790603"/>
    <n v="1510002634"/>
    <s v="DELIVERED"/>
    <x v="7"/>
    <s v="BUKIT RAJA"/>
    <x v="22"/>
    <d v="2026-06-04T00:00:00"/>
    <d v="2026-06-08T00:00:00"/>
    <d v="2026-06-08T00:00:00"/>
    <s v="SWIFT"/>
    <m/>
    <m/>
    <m/>
    <m/>
    <m/>
    <m/>
    <x v="0"/>
    <s v="To pay SST - K1 confirmed 26/5"/>
  </r>
  <r>
    <n v="79"/>
    <x v="6"/>
    <m/>
    <s v="FTAU2331883"/>
    <n v="1510002634"/>
    <s v="DELIVERED"/>
    <x v="7"/>
    <s v="BUKIT RAJA"/>
    <x v="22"/>
    <d v="2026-06-04T00:00:00"/>
    <d v="2026-06-06T00:00:00"/>
    <d v="2026-06-06T00:00:00"/>
    <s v="SWIFT"/>
    <m/>
    <m/>
    <m/>
    <m/>
    <m/>
    <m/>
    <x v="0"/>
    <s v="To pay SST - K1 confirmed 26/5"/>
  </r>
  <r>
    <n v="80"/>
    <x v="6"/>
    <m/>
    <s v="OOLU0954449"/>
    <n v="1510002634"/>
    <s v="DELIVERED"/>
    <x v="7"/>
    <s v="BUKIT RAJA"/>
    <x v="22"/>
    <d v="2026-06-05T00:00:00"/>
    <d v="2026-06-08T00:00:00"/>
    <d v="2026-06-08T00:00:00"/>
    <s v="SWIFT"/>
    <m/>
    <m/>
    <m/>
    <m/>
    <m/>
    <m/>
    <x v="0"/>
    <s v="To pay SST - K1 confirmed 26/5"/>
  </r>
  <r>
    <n v="81"/>
    <x v="6"/>
    <m/>
    <s v="CSGU6209961"/>
    <n v="1510003060"/>
    <s v="DELIVERED"/>
    <x v="16"/>
    <s v="SG BULOH"/>
    <x v="21"/>
    <d v="2026-06-06T00:00:00"/>
    <d v="2026-06-09T00:00:00"/>
    <m/>
    <s v="SWIFT"/>
    <m/>
    <m/>
    <m/>
    <m/>
    <m/>
    <m/>
    <x v="0"/>
    <s v="To pay SST - K1 confirmed 26/5. 8/6 until 9/6- found COA expiry not tally with physical. 10/6 - rev COA rcvd."/>
  </r>
  <r>
    <n v="82"/>
    <x v="1"/>
    <m/>
    <s v="OERU4085200"/>
    <n v="1510002777"/>
    <s v="PENDING"/>
    <x v="11"/>
    <s v="PULAU INDAH"/>
    <x v="13"/>
    <m/>
    <m/>
    <m/>
    <s v="SWIFT"/>
    <m/>
    <m/>
    <m/>
    <m/>
    <m/>
    <m/>
    <x v="0"/>
    <s v="8/6 - EDO released, wtg delivery. 11/6 - rcvd issue that cntnr arrived Gold Cold with unplugged point, cargo unstuffed, pending investigation from agent."/>
  </r>
  <r>
    <n v="83"/>
    <x v="0"/>
    <m/>
    <s v="MTMU2887952"/>
    <n v="9700018058"/>
    <s v="DELIVERED"/>
    <x v="0"/>
    <s v="SG BULOH"/>
    <x v="21"/>
    <d v="2026-06-11T00:00:00"/>
    <d v="2026-06-12T00:00:00"/>
    <d v="2026-06-13T00:00:00"/>
    <s v="MULTI-TRANS"/>
    <n v="10"/>
    <n v="10"/>
    <d v="2026-06-06T00:00:00"/>
    <d v="2026-06-20T00:00:00"/>
    <n v="5"/>
    <n v="-7"/>
    <x v="1"/>
    <s v="4/6 - Paper approved, invoice received. 8/6 - paper released, pndg ROT. ROT rlsed 10/6."/>
  </r>
  <r>
    <n v="84"/>
    <x v="0"/>
    <m/>
    <s v="CRSU1197098"/>
    <n v="9700018058"/>
    <s v="DELIVERED"/>
    <x v="0"/>
    <s v="SG BULOH"/>
    <x v="21"/>
    <d v="2026-06-12T00:00:00"/>
    <d v="2026-06-13T00:00:00"/>
    <d v="2026-06-13T00:00:00"/>
    <s v="MULTI-TRANS"/>
    <n v="10"/>
    <n v="10"/>
    <d v="2026-06-06T00:00:00"/>
    <d v="2026-06-21T00:00:00"/>
    <n v="-6"/>
    <n v="-8"/>
    <x v="2"/>
    <s v="4/6 - Paper approved, invoice received. 8/6 - paper released, pndg ROT. ROT rlsed 10/6."/>
  </r>
  <r>
    <n v="85"/>
    <x v="0"/>
    <m/>
    <s v="MTMU2904068"/>
    <n v="9700018058"/>
    <s v="DELIVERED"/>
    <x v="0"/>
    <s v="SG BULOH"/>
    <x v="21"/>
    <d v="2026-06-12T00:00:00"/>
    <d v="2026-06-15T00:00:00"/>
    <m/>
    <s v="MULTI-TRANS"/>
    <n v="10"/>
    <n v="10"/>
    <d v="2026-06-06T00:00:00"/>
    <d v="2026-06-21T00:00:00"/>
    <n v="-6"/>
    <n v="-46194"/>
    <x v="2"/>
    <s v="4/6 - Paper approved, invoice received. 8/6 - paper released, pndg ROT. ROT rlsed 10/6."/>
  </r>
  <r>
    <n v="86"/>
    <x v="0"/>
    <m/>
    <s v="SEGU3936380"/>
    <n v="9700018058"/>
    <s v="DELIVERED"/>
    <x v="0"/>
    <s v="SG BULOH"/>
    <x v="21"/>
    <d v="2026-06-12T00:00:00"/>
    <d v="2026-05-17T00:00:00"/>
    <d v="2026-06-18T00:00:00"/>
    <s v="MULTI-TRANS"/>
    <n v="10"/>
    <n v="10"/>
    <d v="2026-06-06T00:00:00"/>
    <d v="2026-06-21T00:00:00"/>
    <n v="-6"/>
    <n v="-3"/>
    <x v="2"/>
    <s v="4/6 - Paper approved, invoice received. 8/6 - paper released, pndg ROT. ROT rlsed 10/6."/>
  </r>
  <r>
    <n v="87"/>
    <x v="0"/>
    <m/>
    <s v="CAIU3564984"/>
    <n v="9700018058"/>
    <s v="DELIVERED"/>
    <x v="0"/>
    <s v="SG BULOH"/>
    <x v="21"/>
    <d v="2026-06-12T00:00:00"/>
    <d v="2026-06-16T00:00:00"/>
    <d v="2026-06-16T00:00:00"/>
    <s v="MULTI-TRANS"/>
    <n v="10"/>
    <n v="10"/>
    <d v="2026-06-06T00:00:00"/>
    <d v="2026-06-21T00:00:00"/>
    <n v="-6"/>
    <n v="-5"/>
    <x v="2"/>
    <s v="4/6 - Paper approved, invoice received. 8/6 - paper released, pndg ROT. ROT rlsed 10/6."/>
  </r>
  <r>
    <n v="88"/>
    <x v="0"/>
    <m/>
    <s v="MTMU2882307"/>
    <n v="9700018058"/>
    <s v="DELIVERED"/>
    <x v="0"/>
    <s v="SG BULOH"/>
    <x v="21"/>
    <d v="2026-06-12T00:00:00"/>
    <d v="2026-06-16T00:00:00"/>
    <d v="2026-06-17T00:00:00"/>
    <s v="MULTI-TRANS"/>
    <n v="10"/>
    <n v="10"/>
    <d v="2026-06-06T00:00:00"/>
    <d v="2026-06-21T00:00:00"/>
    <n v="-6"/>
    <n v="-4"/>
    <x v="2"/>
    <s v="4/6 - Paper approved, invoice received. 8/6 - paper released, pndg ROT. ROT rlsed 10/6."/>
  </r>
  <r>
    <n v="89"/>
    <x v="0"/>
    <m/>
    <s v="SEGU3861465"/>
    <n v="9700018058"/>
    <s v="DELIVERED"/>
    <x v="0"/>
    <s v="SG BULOH"/>
    <x v="21"/>
    <d v="2026-06-11T00:00:00"/>
    <d v="2026-06-12T00:00:00"/>
    <d v="2026-06-13T00:00:00"/>
    <s v="MULTI-TRANS"/>
    <n v="10"/>
    <n v="10"/>
    <d v="2026-06-06T00:00:00"/>
    <d v="2026-06-20T00:00:00"/>
    <n v="-5"/>
    <n v="-7"/>
    <x v="2"/>
    <s v="4/6 - Paper approved, invoice received. 8/6 - paper released, pndg ROT. ROT rlsed 10/6."/>
  </r>
  <r>
    <n v="90"/>
    <x v="0"/>
    <m/>
    <s v="SEGU3923510"/>
    <n v="9700018058"/>
    <s v="DELIVERED"/>
    <x v="0"/>
    <s v="SG BULOH"/>
    <x v="21"/>
    <d v="2026-06-11T00:00:00"/>
    <d v="2026-06-12T00:00:00"/>
    <m/>
    <s v="MULTI-TRANS"/>
    <n v="10"/>
    <n v="10"/>
    <d v="2026-06-06T00:00:00"/>
    <d v="2026-06-20T00:00:00"/>
    <n v="-5"/>
    <n v="-46193"/>
    <x v="0"/>
    <s v="4/6 - Paper approved, invoice received. 8/6 - paper released, pndg ROT. ROT rlsed 10/6."/>
  </r>
  <r>
    <n v="91"/>
    <x v="0"/>
    <m/>
    <s v="JHSU2678474"/>
    <n v="9700018058"/>
    <s v="DELIVERED"/>
    <x v="0"/>
    <s v="SG BULOH"/>
    <x v="21"/>
    <d v="2026-06-11T00:00:00"/>
    <d v="2026-06-12T00:00:00"/>
    <m/>
    <s v="MULTI-TRANS"/>
    <n v="10"/>
    <n v="10"/>
    <d v="2026-06-06T00:00:00"/>
    <d v="2026-06-20T00:00:00"/>
    <n v="-5"/>
    <n v="-46193"/>
    <x v="0"/>
    <s v="4/6 - Paper approved, invoice received. 8/6 - paper released, pndg ROT. ROT rlsed 10/6."/>
  </r>
  <r>
    <n v="92"/>
    <x v="0"/>
    <m/>
    <s v="CRSU1185348"/>
    <n v="9700018058"/>
    <s v="DELIVERED"/>
    <x v="0"/>
    <s v="SG BULOH"/>
    <x v="21"/>
    <d v="2026-06-10T00:00:00"/>
    <d v="2026-06-11T00:00:00"/>
    <m/>
    <s v="MULTI-TRANS"/>
    <n v="10"/>
    <n v="10"/>
    <d v="2026-06-06T00:00:00"/>
    <d v="2026-06-19T00:00:00"/>
    <n v="-4"/>
    <n v="-46192"/>
    <x v="0"/>
    <s v="4/6 - Paper approved, invoice received. 8/6 - paper released, pndg ROT. ROT rlsed 10/6."/>
  </r>
  <r>
    <n v="93"/>
    <x v="0"/>
    <m/>
    <s v="CAIU3078513"/>
    <n v="9700018058"/>
    <s v="DELIVERED"/>
    <x v="0"/>
    <s v="SG BULOH"/>
    <x v="21"/>
    <d v="2026-06-11T00:00:00"/>
    <d v="2026-06-15T00:00:00"/>
    <m/>
    <s v="MULTI-TRANS"/>
    <n v="10"/>
    <n v="10"/>
    <d v="2026-06-06T00:00:00"/>
    <d v="2026-06-20T00:00:00"/>
    <n v="-5"/>
    <n v="-46193"/>
    <x v="0"/>
    <s v="4/6 - Paper approved, invoice received. 8/6 - paper released, pndg ROT. ROT rlsed 10/6."/>
  </r>
  <r>
    <n v="94"/>
    <x v="0"/>
    <m/>
    <s v="CAIU3568830"/>
    <n v="9700018074"/>
    <s v="DELIVERED"/>
    <x v="0"/>
    <s v="SG BULOH"/>
    <x v="21"/>
    <d v="2026-06-12T00:00:00"/>
    <d v="2026-06-15T00:00:00"/>
    <m/>
    <s v="MULTI-TRANS"/>
    <n v="10"/>
    <n v="10"/>
    <d v="2026-06-06T00:00:00"/>
    <d v="2026-06-21T00:00:00"/>
    <n v="-6"/>
    <n v="-46194"/>
    <x v="0"/>
    <s v="4/6 - Paper approved, invoice received. 8/6 - paper released, pndg ROT. ROT rlsed 10/6."/>
  </r>
  <r>
    <n v="95"/>
    <x v="0"/>
    <m/>
    <s v="SEGU3932867"/>
    <n v="9700018074"/>
    <s v="DELIVERED"/>
    <x v="0"/>
    <s v="SG BULOH"/>
    <x v="21"/>
    <d v="2026-06-13T00:00:00"/>
    <d v="2026-06-18T00:00:00"/>
    <d v="2026-06-19T00:00:00"/>
    <s v="MULTI-TRANS"/>
    <n v="10"/>
    <n v="10"/>
    <d v="2026-06-06T00:00:00"/>
    <d v="2026-06-22T00:00:00"/>
    <n v="-7"/>
    <n v="-3"/>
    <x v="0"/>
    <s v="4/6 - Paper approved, invoice received. 8/6 - paper released, pndg ROT. ROT rlsed 10/6."/>
  </r>
  <r>
    <n v="96"/>
    <x v="0"/>
    <m/>
    <s v="SEGU3923778"/>
    <n v="9700018074"/>
    <s v="DELIVERED"/>
    <x v="0"/>
    <s v="SG BULOH"/>
    <x v="21"/>
    <d v="2026-06-12T00:00:00"/>
    <d v="2026-06-16T00:00:00"/>
    <d v="2026-06-16T00:00:00"/>
    <s v="MULTI-TRANS"/>
    <n v="10"/>
    <n v="10"/>
    <d v="2026-06-06T00:00:00"/>
    <d v="2026-06-21T00:00:00"/>
    <n v="-6"/>
    <n v="-5"/>
    <x v="0"/>
    <s v="4/6 - Paper approved, invoice received. 8/6 - paper released, pndg ROT. ROT rlsed 10/6."/>
  </r>
  <r>
    <n v="97"/>
    <x v="0"/>
    <m/>
    <s v="SEGU1043367"/>
    <n v="9700018074"/>
    <s v="DELIVERED"/>
    <x v="0"/>
    <s v="SG BULOH"/>
    <x v="21"/>
    <d v="2026-06-13T00:00:00"/>
    <d v="2026-06-19T00:00:00"/>
    <m/>
    <s v="MULTI-TRANS"/>
    <n v="10"/>
    <n v="10"/>
    <d v="2026-06-06T00:00:00"/>
    <d v="2026-06-22T00:00:00"/>
    <n v="-7"/>
    <n v="-46195"/>
    <x v="0"/>
    <s v="4/6 - Paper approved, invoice received. 8/6 - paper released, pndg ROT. ROT rlsed 10/6."/>
  </r>
  <r>
    <n v="98"/>
    <x v="0"/>
    <m/>
    <s v="CAIU3565065"/>
    <n v="9700018074"/>
    <s v="DELIVERED"/>
    <x v="0"/>
    <s v="SG BULOH"/>
    <x v="21"/>
    <d v="2026-06-13T00:00:00"/>
    <d v="2026-06-14T00:00:00"/>
    <d v="2026-06-18T00:00:00"/>
    <s v="MULTI-TRANS"/>
    <n v="10"/>
    <n v="10"/>
    <d v="2026-06-06T00:00:00"/>
    <d v="2026-06-22T00:00:00"/>
    <n v="-7"/>
    <n v="-4"/>
    <x v="0"/>
    <s v="4/6 - Paper approved, invoice received. 8/6 - paper released, pndg ROT. ROT rlsed 10/6."/>
  </r>
  <r>
    <n v="99"/>
    <x v="0"/>
    <m/>
    <s v="MTMU2902506"/>
    <n v="9700018074"/>
    <s v="DELIVERED"/>
    <x v="0"/>
    <s v="SG BULOH"/>
    <x v="21"/>
    <d v="2026-06-15T00:00:00"/>
    <m/>
    <m/>
    <s v="MULTI-TRANS"/>
    <n v="10"/>
    <n v="10"/>
    <d v="2026-06-06T00:00:00"/>
    <d v="2026-06-24T00:00:00"/>
    <n v="-9"/>
    <n v="-46197"/>
    <x v="0"/>
    <s v="4/6 - Paper approved, invoice received. 8/6 - paper released, pndg ROT. ROT rlsed 10/6."/>
  </r>
  <r>
    <n v="100"/>
    <x v="0"/>
    <m/>
    <s v="CRSU1214718"/>
    <n v="9700018074"/>
    <s v="DELIVERED"/>
    <x v="0"/>
    <s v="SG BULOH"/>
    <x v="21"/>
    <d v="2026-06-15T00:00:00"/>
    <d v="2026-06-23T00:00:00"/>
    <m/>
    <s v="MULTI-TRANS"/>
    <n v="10"/>
    <n v="10"/>
    <d v="2026-06-06T00:00:00"/>
    <d v="2026-06-24T00:00:00"/>
    <n v="-9"/>
    <n v="-46197"/>
    <x v="0"/>
    <s v="4/6 - Paper approved, invoice received. 8/6 - paper released, pndg ROT. ROT rlsed 10/6."/>
  </r>
  <r>
    <n v="101"/>
    <x v="0"/>
    <m/>
    <s v="CAIU6576103"/>
    <n v="9700018074"/>
    <s v="DELIVERED"/>
    <x v="0"/>
    <s v="SG BULOH"/>
    <x v="21"/>
    <d v="2026-06-15T00:00:00"/>
    <d v="2026-06-19T00:00:00"/>
    <m/>
    <s v="MULTI-TRANS"/>
    <n v="10"/>
    <n v="10"/>
    <d v="2026-06-06T00:00:00"/>
    <d v="2026-06-24T00:00:00"/>
    <n v="-9"/>
    <n v="-46197"/>
    <x v="0"/>
    <s v="4/6 - Paper approved, invoice received. 8/6 - paper released, pndg ROT. ROT rlsed 10/6."/>
  </r>
  <r>
    <n v="102"/>
    <x v="0"/>
    <m/>
    <s v="TGCU2175434"/>
    <n v="9700018074"/>
    <s v="DELIVERED"/>
    <x v="0"/>
    <s v="SG BULOH"/>
    <x v="21"/>
    <d v="2026-06-16T00:00:00"/>
    <m/>
    <m/>
    <s v="MULTI-TRANS"/>
    <n v="10"/>
    <n v="10"/>
    <d v="2026-06-06T00:00:00"/>
    <d v="2026-06-25T00:00:00"/>
    <n v="-10"/>
    <n v="-46198"/>
    <x v="0"/>
    <s v="4/6 - Paper approved, invoice received. 8/6 - paper released, pndg ROT. ROT rlsed 10/6."/>
  </r>
  <r>
    <n v="103"/>
    <x v="0"/>
    <m/>
    <s v="SEGU3949767"/>
    <n v="9700018074"/>
    <s v="DELIVERED"/>
    <x v="0"/>
    <s v="SG BULOH"/>
    <x v="21"/>
    <d v="2026-06-15T00:00:00"/>
    <d v="2026-06-18T00:00:00"/>
    <d v="2026-06-19T00:00:00"/>
    <s v="MULTI-TRANS"/>
    <n v="10"/>
    <n v="10"/>
    <d v="2026-06-06T00:00:00"/>
    <d v="2026-06-24T00:00:00"/>
    <n v="-9"/>
    <n v="-5"/>
    <x v="0"/>
    <s v="4/6 - Paper approved, invoice received. 8/6 - paper released, pndg ROT. ROT rlsed 10/6."/>
  </r>
  <r>
    <n v="104"/>
    <x v="0"/>
    <m/>
    <s v="MTMU2894946"/>
    <n v="9700018074"/>
    <s v="DELIVERED"/>
    <x v="0"/>
    <s v="SG BULOH"/>
    <x v="21"/>
    <d v="2026-06-15T00:00:00"/>
    <d v="2026-06-17T00:00:00"/>
    <d v="2026-06-17T00:00:00"/>
    <s v="MULTI-TRANS"/>
    <n v="10"/>
    <n v="10"/>
    <d v="2026-06-06T00:00:00"/>
    <d v="2026-06-24T00:00:00"/>
    <n v="-9"/>
    <n v="-7"/>
    <x v="0"/>
    <s v="4/6 - Paper approved, invoice received. 8/6 - paper released, pndg ROT. ROT rlsed 10/6."/>
  </r>
  <r>
    <n v="105"/>
    <x v="0"/>
    <m/>
    <s v="SEKU1616308"/>
    <n v="9700018074"/>
    <s v="DELIVERED"/>
    <x v="0"/>
    <s v="SG BULOH"/>
    <x v="21"/>
    <d v="2026-06-16T00:00:00"/>
    <d v="2026-06-23T00:00:00"/>
    <m/>
    <s v="MULTI-TRANS"/>
    <n v="10"/>
    <n v="10"/>
    <d v="2026-06-06T00:00:00"/>
    <d v="2026-06-25T00:00:00"/>
    <n v="-10"/>
    <n v="-46198"/>
    <x v="0"/>
    <s v="4/6 - Paper approved, invoice received. 8/6 - paper released, pndg ROT. ROT rlsed 10/6."/>
  </r>
  <r>
    <n v="106"/>
    <x v="0"/>
    <m/>
    <s v="MTMU2908700"/>
    <n v="9700018059"/>
    <s v="PENDING"/>
    <x v="0"/>
    <s v="PENANG"/>
    <x v="23"/>
    <m/>
    <m/>
    <m/>
    <s v="SWIFT PENANG"/>
    <m/>
    <m/>
    <m/>
    <m/>
    <m/>
    <m/>
    <x v="0"/>
    <m/>
  </r>
  <r>
    <n v="107"/>
    <x v="0"/>
    <m/>
    <s v="CAAU2567013"/>
    <n v="9700018059"/>
    <s v="PENDING"/>
    <x v="0"/>
    <s v="PENANG"/>
    <x v="23"/>
    <m/>
    <m/>
    <m/>
    <s v="SWIFT PENANG"/>
    <m/>
    <m/>
    <m/>
    <m/>
    <m/>
    <m/>
    <x v="0"/>
    <m/>
  </r>
  <r>
    <n v="108"/>
    <x v="0"/>
    <m/>
    <s v="PRSU1572993"/>
    <n v="9700018059"/>
    <s v="PENDING"/>
    <x v="0"/>
    <s v="PENANG"/>
    <x v="23"/>
    <m/>
    <m/>
    <m/>
    <s v="SWIFT PENANG"/>
    <m/>
    <m/>
    <m/>
    <m/>
    <m/>
    <m/>
    <x v="0"/>
    <m/>
  </r>
  <r>
    <n v="109"/>
    <x v="0"/>
    <m/>
    <s v="SEGU3938799"/>
    <n v="9700018059"/>
    <s v="PENDING"/>
    <x v="0"/>
    <s v="PENANG"/>
    <x v="23"/>
    <m/>
    <m/>
    <m/>
    <s v="SWIFT PENANG"/>
    <m/>
    <m/>
    <m/>
    <m/>
    <m/>
    <m/>
    <x v="0"/>
    <m/>
  </r>
  <r>
    <n v="110"/>
    <x v="7"/>
    <m/>
    <s v="OOLU1951399"/>
    <n v="1510002693"/>
    <s v="DELIVERED"/>
    <x v="17"/>
    <s v="BUKIT RAJA"/>
    <x v="24"/>
    <d v="2026-04-25T00:00:00"/>
    <d v="2026-04-27T00:00:00"/>
    <d v="2026-04-27T00:00:00"/>
    <s v="SWIFT"/>
    <m/>
    <m/>
    <m/>
    <m/>
    <m/>
    <m/>
    <x v="0"/>
    <m/>
  </r>
  <r>
    <n v="111"/>
    <x v="7"/>
    <s v="SITGTXPK601595"/>
    <s v="HPCU2823045"/>
    <n v="1510003132"/>
    <s v="DELIVERED"/>
    <x v="18"/>
    <s v="MACKESSEN (CUST)"/>
    <x v="16"/>
    <d v="2026-06-12T00:00:00"/>
    <d v="2026-06-15T00:00:00"/>
    <d v="2026-06-16T00:00:00"/>
    <s v="SWIFT"/>
    <m/>
    <m/>
    <m/>
    <m/>
    <m/>
    <m/>
    <x v="0"/>
    <s v="To pay SST 5%, import duty 5%. 3/6 - Draft K1 approved. 5/6 - flw up shipment. 7/6 - paper approved. 8/6 - sst paid. Change delivery date from 9/6 to 11/6 due to McKesson only can rcv the goods on that day"/>
  </r>
  <r>
    <n v="112"/>
    <x v="7"/>
    <m/>
    <s v="CSNU5749394"/>
    <n v="1510002787"/>
    <s v="PENDING"/>
    <x v="17"/>
    <s v="FFM IPOH"/>
    <x v="25"/>
    <m/>
    <m/>
    <m/>
    <s v="SWIFT"/>
    <m/>
    <m/>
    <m/>
    <m/>
    <m/>
    <m/>
    <x v="0"/>
    <s v="To pay SST 5%, import duty 5%"/>
  </r>
  <r>
    <n v="113"/>
    <x v="7"/>
    <m/>
    <s v="CSNU8911045"/>
    <n v="1510002788"/>
    <s v="PENDING"/>
    <x v="17"/>
    <s v="FFM IPOH"/>
    <x v="26"/>
    <m/>
    <m/>
    <m/>
    <s v="SWIFT"/>
    <m/>
    <m/>
    <m/>
    <m/>
    <m/>
    <m/>
    <x v="0"/>
    <s v="To pay SST 5%, import duty 5%. 9/6 - cntnr discharged at port. 11/6 - Agent request to deliver on 12/6 instead of 11/6"/>
  </r>
  <r>
    <n v="114"/>
    <x v="7"/>
    <m/>
    <s v="OOCU8629259"/>
    <n v="1510002716"/>
    <s v="DELIVERED"/>
    <x v="19"/>
    <s v="SG BULOH"/>
    <x v="27"/>
    <d v="2026-06-11T00:00:00"/>
    <d v="2026-06-16T00:00:00"/>
    <d v="2026-06-16T00:00:00"/>
    <s v="SWIFT"/>
    <m/>
    <m/>
    <m/>
    <m/>
    <m/>
    <m/>
    <x v="0"/>
    <s v="To pay SST 5%, import duty 5%"/>
  </r>
  <r>
    <n v="115"/>
    <x v="6"/>
    <m/>
    <s v="CSNU2540590"/>
    <n v="1510002635"/>
    <s v="PENDING"/>
    <x v="7"/>
    <s v="BUKIT RAJA"/>
    <x v="19"/>
    <m/>
    <m/>
    <m/>
    <s v="SWIFT"/>
    <m/>
    <m/>
    <m/>
    <m/>
    <m/>
    <m/>
    <x v="0"/>
    <s v="28/5 - Pending C3 letter. 12/6 - C3 letter rcvd. 14/6 - SSTE cert sent. 23/6 - K1 approved"/>
  </r>
  <r>
    <n v="116"/>
    <x v="6"/>
    <m/>
    <s v="CSNU2724350"/>
    <n v="1510002635"/>
    <s v="PENDING"/>
    <x v="7"/>
    <s v="BUKIT RAJA"/>
    <x v="19"/>
    <m/>
    <m/>
    <m/>
    <s v="SWIFT"/>
    <m/>
    <m/>
    <m/>
    <m/>
    <m/>
    <m/>
    <x v="0"/>
    <s v="28/5 - Pending C3 letter. 12/6 - C3 letter rcvd. 14/6 - SSTE cert sent. 23/6 - K1 approved"/>
  </r>
  <r>
    <n v="117"/>
    <x v="6"/>
    <m/>
    <s v="CSGU2144820"/>
    <n v="1510002635"/>
    <s v="PENDING"/>
    <x v="7"/>
    <s v="BUKIT RAJA"/>
    <x v="19"/>
    <m/>
    <m/>
    <m/>
    <s v="SWIFT"/>
    <m/>
    <m/>
    <m/>
    <m/>
    <m/>
    <m/>
    <x v="0"/>
    <s v="28/5 - Pending C3 letter. 12/6 - C3 letter rcvd. 14/6 - SSTE cert sent. 23/6 - K1 approved"/>
  </r>
  <r>
    <n v="118"/>
    <x v="6"/>
    <m/>
    <s v="OOCU1035656"/>
    <n v="1510002635"/>
    <s v="PENDING"/>
    <x v="7"/>
    <s v="BUKIT RAJA"/>
    <x v="19"/>
    <m/>
    <m/>
    <m/>
    <s v="SWIFT"/>
    <m/>
    <m/>
    <m/>
    <m/>
    <m/>
    <m/>
    <x v="0"/>
    <s v="28/5 - Pending C3 letter. 12/6 - C3 letter rcvd. 14/6 - SSTE cert sent. 23/6 - K1 approved"/>
  </r>
  <r>
    <n v="119"/>
    <x v="6"/>
    <m/>
    <s v="CSGU2079849"/>
    <n v="1510002637"/>
    <s v="PENDING"/>
    <x v="7"/>
    <s v="BUKIT RAJA"/>
    <x v="28"/>
    <m/>
    <m/>
    <m/>
    <s v="SWIFT"/>
    <m/>
    <m/>
    <m/>
    <m/>
    <m/>
    <m/>
    <x v="0"/>
    <s v="28/5 - Pending C3 letter. 11/6 - Rcvd balance docs from supplier. 12/6 - C3 letter rcvd. 14/6 - SSTE cert sent"/>
  </r>
  <r>
    <n v="120"/>
    <x v="6"/>
    <m/>
    <s v="CSNU2861250"/>
    <n v="1510002637"/>
    <s v="PENDING"/>
    <x v="7"/>
    <s v="BUKIT RAJA"/>
    <x v="28"/>
    <m/>
    <m/>
    <m/>
    <s v="SWIFT"/>
    <m/>
    <m/>
    <m/>
    <m/>
    <m/>
    <m/>
    <x v="0"/>
    <s v="28/5 - Pending C3 letter. 11/6 - Rcvd balance docs from supplier. 12/6 - C3 letter rcvd. 14/6 - SSTE cert sent"/>
  </r>
  <r>
    <n v="121"/>
    <x v="6"/>
    <m/>
    <s v="FTAU1956855"/>
    <n v="1510002637"/>
    <s v="PENDING"/>
    <x v="7"/>
    <s v="BUKIT RAJA"/>
    <x v="28"/>
    <m/>
    <m/>
    <m/>
    <s v="SWIFT"/>
    <m/>
    <m/>
    <m/>
    <m/>
    <m/>
    <m/>
    <x v="0"/>
    <s v="28/5 - Pending C3 letter. 11/6 - Rcvd balance docs from supplier. 12/6 - C3 letter rcvd. 14/6 - SSTE cert sent"/>
  </r>
  <r>
    <n v="0"/>
    <x v="6"/>
    <m/>
    <s v="OOLU0978311"/>
    <n v="1510002637"/>
    <s v="PENDING"/>
    <x v="7"/>
    <s v="BUKIT RAJA"/>
    <x v="28"/>
    <m/>
    <m/>
    <m/>
    <s v="SWIFT"/>
    <m/>
    <m/>
    <m/>
    <m/>
    <m/>
    <m/>
    <x v="0"/>
    <s v="28/5 - Pending C3 letter. 11/6 - Rcvd balance docs from supplier. 12/6 - C3 letter rcvd. 14/6 - SSTE cert sent"/>
  </r>
  <r>
    <n v="123"/>
    <x v="0"/>
    <m/>
    <s v="TGCU2174931"/>
    <n v="9700018144"/>
    <s v="DELIVERED"/>
    <x v="0"/>
    <s v="SG BULOH"/>
    <x v="29"/>
    <d v="2026-06-18T00:00:00"/>
    <d v="2026-06-18T00:00:00"/>
    <m/>
    <s v="MULTI-TRANS"/>
    <n v="10"/>
    <n v="10"/>
    <d v="2026-06-19T00:00:00"/>
    <d v="2026-06-27T00:00:00"/>
    <n v="1"/>
    <n v="-46200"/>
    <x v="0"/>
    <s v="9/6 - Draft K1 approved. 11/6 ~ 12/6 - Pending OGA rlse. 15/6 - Paper approved, pending upfront payment due to credit limit exceeded. 16/6 - Sent PA to offset payment, upfront SST payment done, EDO rlsed."/>
  </r>
  <r>
    <n v="124"/>
    <x v="0"/>
    <m/>
    <s v="SEGU3926205"/>
    <n v="9700018144"/>
    <s v="DELIVERED"/>
    <x v="0"/>
    <s v="SG BULOH"/>
    <x v="29"/>
    <d v="2026-06-18T00:00:00"/>
    <d v="2026-06-19T00:00:00"/>
    <m/>
    <s v="MULTI-TRANS"/>
    <n v="10"/>
    <n v="10"/>
    <d v="2026-06-19T00:00:00"/>
    <d v="2026-06-27T00:00:00"/>
    <n v="1"/>
    <n v="-46200"/>
    <x v="0"/>
    <s v="9/6 - Draft K1 approved. 11/6 ~ 12/6 - Pending OGA rlse. 15/6 - Paper approved, pending upfront payment due to credit limit exceeded. 16/6 - Sent PA to offset payment, upfront SST payment done, EDO rlsed."/>
  </r>
  <r>
    <n v="125"/>
    <x v="0"/>
    <m/>
    <s v="CRSU1216217"/>
    <n v="9700018144"/>
    <s v="DELIVERED"/>
    <x v="0"/>
    <s v="SG BULOH"/>
    <x v="29"/>
    <d v="2026-06-19T00:00:00"/>
    <m/>
    <m/>
    <s v="MULTI-TRANS"/>
    <n v="10"/>
    <n v="10"/>
    <d v="2026-06-19T00:00:00"/>
    <d v="2026-06-28T00:00:00"/>
    <n v="0"/>
    <n v="-46201"/>
    <x v="0"/>
    <s v="9/6 - Draft K1 approved. 11/6 ~ 12/6 - Pending OGA rlse. 15/6 - Paper approved, pending upfront payment due to credit limit exceeded. 16/6 - Sent PA to offset payment, upfront SST payment done, EDO rlsed."/>
  </r>
  <r>
    <n v="126"/>
    <x v="0"/>
    <m/>
    <s v="CAIU3569116"/>
    <n v="9700018144"/>
    <s v="DELIVERED"/>
    <x v="0"/>
    <s v="SG BULOH"/>
    <x v="29"/>
    <d v="2026-06-19T00:00:00"/>
    <m/>
    <m/>
    <s v="MULTI-TRANS"/>
    <n v="10"/>
    <n v="10"/>
    <d v="2026-06-19T00:00:00"/>
    <d v="2026-06-28T00:00:00"/>
    <n v="0"/>
    <n v="-46201"/>
    <x v="0"/>
    <s v="9/6 - Draft K1 approved. 11/6 ~ 12/6 - Pending OGA rlse. 15/6 - Paper approved, pending upfront payment due to credit limit exceeded. 16/6 - Sent PA to offset payment, upfront SST payment done, EDO rlsed."/>
  </r>
  <r>
    <n v="127"/>
    <x v="0"/>
    <m/>
    <s v="CRSU1232985"/>
    <n v="9700018144"/>
    <s v="DELIVERED"/>
    <x v="0"/>
    <s v="SG BULOH"/>
    <x v="29"/>
    <d v="2026-06-19T00:00:00"/>
    <m/>
    <m/>
    <s v="MULTI-TRANS"/>
    <n v="10"/>
    <n v="10"/>
    <d v="2026-06-19T00:00:00"/>
    <d v="2026-06-28T00:00:00"/>
    <n v="0"/>
    <n v="-46201"/>
    <x v="0"/>
    <s v="9/6 - Draft K1 approved. 11/6 ~ 12/6 - Pending OGA rlse. 15/6 - Paper approved, pending upfront payment due to credit limit exceeded. 16/6 - Sent PA to offset payment, upfront SST payment done, EDO rlsed."/>
  </r>
  <r>
    <n v="128"/>
    <x v="0"/>
    <m/>
    <s v="TGCU2171510"/>
    <n v="9700018144"/>
    <s v="DELIVERED"/>
    <x v="0"/>
    <s v="SG BULOH"/>
    <x v="29"/>
    <d v="2026-06-20T00:00:00"/>
    <m/>
    <m/>
    <s v="MULTI-TRANS"/>
    <n v="10"/>
    <n v="10"/>
    <d v="2026-06-19T00:00:00"/>
    <d v="2026-06-29T00:00:00"/>
    <n v="-1"/>
    <n v="-46202"/>
    <x v="0"/>
    <s v="9/6 - Draft K1 approved. 11/6 ~ 12/6 - Pending OGA rlse. 15/6 - Paper approved, pending upfront payment due to credit limit exceeded. 16/6 - Sent PA to offset payment, upfront SST payment done, EDO rlsed."/>
  </r>
  <r>
    <n v="129"/>
    <x v="6"/>
    <m/>
    <s v="CSNU2956269"/>
    <n v="1510002636"/>
    <s v="DELIVERED"/>
    <x v="7"/>
    <s v="BUKIT RAJA"/>
    <x v="30"/>
    <d v="2026-06-22T00:00:00"/>
    <d v="2026-06-25T00:00:00"/>
    <m/>
    <s v="SWIFT"/>
    <m/>
    <m/>
    <m/>
    <m/>
    <m/>
    <m/>
    <x v="0"/>
    <s v="28/5 - Pending C3 letter. 12/6 - C3 letter rcvd. 14/6 - SSTE cert sent."/>
  </r>
  <r>
    <n v="130"/>
    <x v="6"/>
    <m/>
    <s v="CSGU2583187"/>
    <n v="1510002636"/>
    <s v="PENDING"/>
    <x v="7"/>
    <s v="BUKIT RAJA"/>
    <x v="30"/>
    <m/>
    <m/>
    <m/>
    <s v="SWIFT"/>
    <m/>
    <m/>
    <m/>
    <m/>
    <m/>
    <m/>
    <x v="0"/>
    <s v="28/5 - Pending C3 letter. 12/6 - C3 letter rcvd. 14/6 - SSTE cert sent."/>
  </r>
  <r>
    <n v="131"/>
    <x v="6"/>
    <m/>
    <s v="OOCU0567926"/>
    <n v="1510002636"/>
    <s v="DELIVERED"/>
    <x v="7"/>
    <s v="BUKIT RAJA"/>
    <x v="30"/>
    <d v="2026-06-21T00:00:00"/>
    <d v="2026-06-25T00:00:00"/>
    <m/>
    <s v="SWIFT"/>
    <m/>
    <m/>
    <m/>
    <m/>
    <m/>
    <m/>
    <x v="0"/>
    <s v="28/5 - Pending C3 letter. 12/6 - C3 letter rcvd. 14/6 - SSTE cert sent."/>
  </r>
  <r>
    <n v="132"/>
    <x v="6"/>
    <m/>
    <s v="OOLU2394180"/>
    <n v="1510002636"/>
    <s v="DELIVERED"/>
    <x v="7"/>
    <s v="BUKIT RAJA"/>
    <x v="30"/>
    <d v="2026-06-21T00:00:00"/>
    <d v="2026-06-23T00:00:00"/>
    <m/>
    <s v="SWIFT"/>
    <m/>
    <m/>
    <m/>
    <m/>
    <m/>
    <m/>
    <x v="0"/>
    <s v="28/5 - Pending C3 letter. 12/6 - C3 letter rcvd. 14/6 - SSTE cert sent."/>
  </r>
  <r>
    <n v="133"/>
    <x v="1"/>
    <m/>
    <s v="TTNU8955885"/>
    <n v="1510002987"/>
    <s v="PENDING"/>
    <x v="20"/>
    <s v="PULAU INDAH"/>
    <x v="31"/>
    <m/>
    <m/>
    <m/>
    <s v="SWIFT"/>
    <m/>
    <m/>
    <m/>
    <m/>
    <m/>
    <m/>
    <x v="0"/>
    <s v="15/6 - Rcvd NOA from Mtrans. 16/6 - Forward NOA to Swift. 16/6 - Paper submitted. 19/6 - Paper yet approved, causing storage &amp; monitoring charges, checking the reason with agent."/>
  </r>
  <r>
    <n v="134"/>
    <x v="0"/>
    <m/>
    <s v="PRSU1625429"/>
    <n v="9700018210"/>
    <s v="DELIVERED"/>
    <x v="0"/>
    <s v="SG BULOH"/>
    <x v="32"/>
    <d v="2026-06-22T00:00:00"/>
    <m/>
    <m/>
    <s v="MULTI-TRANS"/>
    <n v="10"/>
    <n v="10"/>
    <d v="2026-06-22T00:00:00"/>
    <d v="2026-07-01T00:00:00"/>
    <n v="0"/>
    <n v="-46204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35"/>
    <x v="0"/>
    <m/>
    <s v="SEGU3932872"/>
    <n v="9700018210"/>
    <s v="DELIVERED"/>
    <x v="0"/>
    <s v="SG BULOH"/>
    <x v="32"/>
    <d v="2026-06-24T00:00:00"/>
    <m/>
    <m/>
    <s v="MULTI-TRANS"/>
    <n v="10"/>
    <n v="10"/>
    <d v="2026-06-22T00:00:00"/>
    <d v="2026-07-03T00:00:00"/>
    <n v="-2"/>
    <n v="-46206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36"/>
    <x v="0"/>
    <m/>
    <s v="SEGU3938947"/>
    <n v="9700018210"/>
    <s v="DELIVERED"/>
    <x v="0"/>
    <s v="SG BULOH"/>
    <x v="32"/>
    <d v="2026-02-23T00:00:00"/>
    <m/>
    <m/>
    <s v="MULTI-TRANS"/>
    <n v="10"/>
    <n v="10"/>
    <d v="2026-06-22T00:00:00"/>
    <d v="2026-03-04T00:00:00"/>
    <n v="119"/>
    <n v="-46085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37"/>
    <x v="0"/>
    <m/>
    <s v="MTMU2882082"/>
    <n v="9700018210"/>
    <s v="DELIVERED"/>
    <x v="0"/>
    <s v="SG BULOH"/>
    <x v="32"/>
    <d v="2026-02-23T00:00:00"/>
    <m/>
    <m/>
    <s v="MULTI-TRANS"/>
    <n v="10"/>
    <n v="10"/>
    <d v="2026-06-22T00:00:00"/>
    <d v="2026-03-04T00:00:00"/>
    <n v="119"/>
    <n v="-46085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38"/>
    <x v="0"/>
    <m/>
    <s v="MTMU2915308"/>
    <n v="9700018210"/>
    <s v="DELIVERED"/>
    <x v="0"/>
    <s v="SG BULOH"/>
    <x v="32"/>
    <d v="2026-02-23T00:00:00"/>
    <m/>
    <m/>
    <s v="MULTI-TRANS"/>
    <n v="10"/>
    <n v="10"/>
    <d v="2026-06-22T00:00:00"/>
    <d v="2026-03-04T00:00:00"/>
    <n v="119"/>
    <n v="-46085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39"/>
    <x v="0"/>
    <m/>
    <s v="SEGU3926946"/>
    <n v="9700018210"/>
    <s v="DELIVERED"/>
    <x v="0"/>
    <s v="SG BULOH"/>
    <x v="32"/>
    <d v="2026-06-24T00:00:00"/>
    <m/>
    <m/>
    <s v="MULTI-TRANS"/>
    <n v="10"/>
    <n v="10"/>
    <d v="2026-06-22T00:00:00"/>
    <d v="2026-07-03T00:00:00"/>
    <n v="-2"/>
    <n v="-46206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40"/>
    <x v="0"/>
    <m/>
    <s v="MTMU2893560"/>
    <n v="9700018210"/>
    <s v="DELIVERED"/>
    <x v="0"/>
    <s v="SG BULOH"/>
    <x v="32"/>
    <d v="2026-06-25T00:00:00"/>
    <m/>
    <m/>
    <s v="MULTI-TRANS"/>
    <n v="10"/>
    <n v="10"/>
    <d v="2026-06-22T00:00:00"/>
    <d v="2026-07-04T00:00:00"/>
    <n v="-3"/>
    <n v="-46207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 Can deliver 1 container only due to heavy traffic (Pulau Indah/Port Klang)."/>
  </r>
  <r>
    <n v="141"/>
    <x v="0"/>
    <m/>
    <s v="CAIU3569501"/>
    <n v="9700018210"/>
    <s v="DELIVERED"/>
    <x v="0"/>
    <s v="SG BULOH"/>
    <x v="32"/>
    <d v="2026-06-26T00:00:00"/>
    <m/>
    <m/>
    <s v="MULTI-TRANS"/>
    <n v="10"/>
    <n v="10"/>
    <d v="2026-06-22T00:00:00"/>
    <d v="2026-07-05T00:00:00"/>
    <n v="-4"/>
    <n v="-46208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42"/>
    <x v="0"/>
    <m/>
    <s v="SEKU1617768"/>
    <n v="9700018210"/>
    <s v="DELIVERED"/>
    <x v="0"/>
    <s v="SG BULOH"/>
    <x v="32"/>
    <d v="2026-06-26T00:00:00"/>
    <m/>
    <m/>
    <s v="MULTI-TRANS"/>
    <n v="10"/>
    <n v="10"/>
    <d v="2026-06-22T00:00:00"/>
    <d v="2026-07-05T00:00:00"/>
    <n v="-4"/>
    <n v="-46208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43"/>
    <x v="0"/>
    <m/>
    <s v="TGCU2173447"/>
    <n v="9700018210"/>
    <s v="PENDING"/>
    <x v="0"/>
    <s v="SG BULOH"/>
    <x v="32"/>
    <m/>
    <m/>
    <m/>
    <s v="MULTI-TRANS"/>
    <n v="10"/>
    <n v="10"/>
    <d v="2026-06-22T00:00:00"/>
    <d v="1900-01-08T00:00:00"/>
    <n v="46195"/>
    <n v="-9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44"/>
    <x v="0"/>
    <m/>
    <s v="CAAU2568112"/>
    <n v="9700018210"/>
    <s v="DELIVERED"/>
    <x v="0"/>
    <s v="SG BULOH"/>
    <x v="32"/>
    <d v="2026-06-26T00:00:00"/>
    <m/>
    <m/>
    <s v="MULTI-TRANS"/>
    <n v="10"/>
    <n v="10"/>
    <d v="2026-06-22T00:00:00"/>
    <d v="2026-07-05T00:00:00"/>
    <n v="-4"/>
    <n v="-46208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45"/>
    <x v="0"/>
    <m/>
    <s v="PRSU1585795"/>
    <n v="9700018210"/>
    <s v="DELIVERED"/>
    <x v="0"/>
    <s v="SG BULOH"/>
    <x v="32"/>
    <d v="2026-06-26T00:00:00"/>
    <m/>
    <m/>
    <s v="MULTI-TRANS"/>
    <n v="10"/>
    <n v="10"/>
    <d v="2026-06-22T00:00:00"/>
    <d v="2026-07-05T00:00:00"/>
    <n v="-4"/>
    <n v="-46208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46"/>
    <x v="0"/>
    <m/>
    <s v="SEGU3934900"/>
    <n v="9700018210"/>
    <s v="PENDING"/>
    <x v="0"/>
    <s v="SG BULOH"/>
    <x v="32"/>
    <m/>
    <m/>
    <m/>
    <s v="MULTI-TRANS"/>
    <n v="10"/>
    <n v="10"/>
    <d v="2026-06-22T00:00:00"/>
    <m/>
    <n v="46195"/>
    <n v="0"/>
    <x v="0"/>
    <s v="15/6 until 16/6 - pending OGA &amp; EDO rlse. Sent PA to Mtrans to offset payment and arrange for advance payment. 18/6 - eDO not rlse due to o/s DND to MTT, the request of waiver &amp; discounts yet get approval since 16/6 but no response from FBG or MTT. 19/6 - since no feedback rcvd, no choice but to accept the charges. DO rlsed in email &amp; wasap late evening."/>
  </r>
  <r>
    <n v="147"/>
    <x v="1"/>
    <s v="COSU6450681730"/>
    <s v="CSNU1951621"/>
    <n v="1510002986"/>
    <s v="PENDING"/>
    <x v="12"/>
    <s v="SG BULOH"/>
    <x v="33"/>
    <m/>
    <m/>
    <m/>
    <s v="SWIFT"/>
    <m/>
    <m/>
    <m/>
    <m/>
    <m/>
    <m/>
    <x v="0"/>
    <m/>
  </r>
  <r>
    <n v="148"/>
    <x v="6"/>
    <s v="COAU7269327650"/>
    <s v="CSGU2835268"/>
    <n v="1510002638"/>
    <s v="PENDING"/>
    <x v="7"/>
    <s v="BUKIT RAJA"/>
    <x v="34"/>
    <m/>
    <m/>
    <m/>
    <s v="SWIFT"/>
    <m/>
    <m/>
    <m/>
    <m/>
    <m/>
    <m/>
    <x v="0"/>
    <s v="11/6- rcvd docs, pendg C3 letter for SSTE waiver. 23/6 - sste cert sent. 26/6 - K1 approved"/>
  </r>
  <r>
    <n v="149"/>
    <x v="6"/>
    <s v="COAU7269327650"/>
    <s v="CSGU2118863"/>
    <n v="1510002638"/>
    <s v="PENDING"/>
    <x v="7"/>
    <s v="BUKIT RAJA"/>
    <x v="34"/>
    <m/>
    <m/>
    <m/>
    <s v="SWIFT"/>
    <m/>
    <m/>
    <m/>
    <m/>
    <m/>
    <m/>
    <x v="0"/>
    <s v="11/6- rcvd docs, pendg C3 letter for SSTE waiver. 23/6 - sste cert sent. 26/6 - K1 approved"/>
  </r>
  <r>
    <n v="150"/>
    <x v="6"/>
    <s v="COAU7269327650"/>
    <s v="OOCU0422985"/>
    <n v="1510002638"/>
    <s v="PENDING"/>
    <x v="7"/>
    <s v="BUKIT RAJA"/>
    <x v="34"/>
    <m/>
    <m/>
    <m/>
    <s v="SWIFT"/>
    <m/>
    <m/>
    <m/>
    <m/>
    <m/>
    <m/>
    <x v="0"/>
    <s v="11/6- rcvd docs, pendg C3 letter for SSTE waiver. 23/6 - sste cert sent. 26/6 - K1 approved"/>
  </r>
  <r>
    <n v="151"/>
    <x v="6"/>
    <s v="COAU7269327650"/>
    <s v="CSGU2113373"/>
    <n v="1510002638"/>
    <s v="PENDING"/>
    <x v="7"/>
    <s v="BUKIT RAJA"/>
    <x v="34"/>
    <m/>
    <m/>
    <m/>
    <s v="SWIFT"/>
    <m/>
    <m/>
    <m/>
    <m/>
    <m/>
    <m/>
    <x v="0"/>
    <s v="11/6- rcvd docs, pendg C3 letter for SSTE waiver. 23/6 - sste cert sent. 26/6 - K1 approved"/>
  </r>
  <r>
    <n v="152"/>
    <x v="6"/>
    <s v="COAU7269646590"/>
    <s v="TGBU8872772"/>
    <n v="1510002789"/>
    <s v="PENDING"/>
    <x v="21"/>
    <s v="BUKIT RAJA"/>
    <x v="34"/>
    <m/>
    <m/>
    <m/>
    <s v="SWIFT"/>
    <m/>
    <m/>
    <m/>
    <m/>
    <m/>
    <m/>
    <x v="0"/>
    <s v="11/6- rcvd docs, pendg C3 letter for SSTE waiver. 22/6 - K1 draft pending approval due to wrongly informed agent on qty for exemption. 23/6 - Just confirmed on the qty &amp; informed agent, 24/6-rcvd revised K1 &amp; confirmed."/>
  </r>
  <r>
    <n v="153"/>
    <x v="6"/>
    <m/>
    <m/>
    <m/>
    <m/>
    <x v="22"/>
    <s v="BUKIT RAJA"/>
    <x v="34"/>
    <m/>
    <m/>
    <m/>
    <s v="SWIFT"/>
    <m/>
    <m/>
    <m/>
    <m/>
    <m/>
    <m/>
    <x v="0"/>
    <s v="11/6- rcvd docs, to pay for SST"/>
  </r>
  <r>
    <n v="154"/>
    <x v="9"/>
    <s v="EGLV235601054179"/>
    <s v="EGSU3434244"/>
    <n v="1510003547"/>
    <s v="PENDING"/>
    <x v="23"/>
    <s v="SG BULOH"/>
    <x v="35"/>
    <m/>
    <m/>
    <m/>
    <s v="SWIFT"/>
    <n v="21"/>
    <n v="14"/>
    <d v="2026-07-06T00:00:00"/>
    <m/>
    <n v="46209"/>
    <n v="0"/>
    <x v="0"/>
    <s v="12/6- NOA EGLV rcvd. 16/6 - 26/6: Pending balance docs from supplier. 26/6 -Rcvd COO, pndg HC."/>
  </r>
  <r>
    <n v="155"/>
    <x v="9"/>
    <s v="EGLV235601054179"/>
    <s v="EGHU3889070"/>
    <n v="1510003547"/>
    <s v="PENDING"/>
    <x v="24"/>
    <s v="SG BULOH"/>
    <x v="35"/>
    <m/>
    <m/>
    <m/>
    <s v="SWIFT"/>
    <n v="21"/>
    <n v="14"/>
    <d v="2026-07-06T00:00:00"/>
    <m/>
    <n v="46209"/>
    <n v="0"/>
    <x v="0"/>
    <s v="12/6- NOA EGLV rcvd. 16/6 - 26/6: Pending balance docs from supplier. 26/6 -Rcvd COO, pndg HC."/>
  </r>
  <r>
    <n v="156"/>
    <x v="9"/>
    <s v="EGLV235601054179"/>
    <s v="EMCU6214250"/>
    <n v="1510003547"/>
    <s v="PENDING"/>
    <x v="25"/>
    <s v="SG BULOH"/>
    <x v="35"/>
    <m/>
    <m/>
    <m/>
    <s v="SWIFT"/>
    <n v="21"/>
    <n v="14"/>
    <d v="2026-07-06T00:00:00"/>
    <m/>
    <n v="46209"/>
    <n v="0"/>
    <x v="0"/>
    <s v="12/6- NOA EGLV rcvd. 16/6 - 26/6: Pending balance docs from supplier. 26/6 -Rcvd COO, pndg HC."/>
  </r>
  <r>
    <n v="157"/>
    <x v="9"/>
    <s v="EGLV235601054179"/>
    <s v="EGSU3734318"/>
    <n v="1510003547"/>
    <s v="PENDING"/>
    <x v="25"/>
    <s v="SG BULOH"/>
    <x v="35"/>
    <m/>
    <m/>
    <m/>
    <s v="SWIFT"/>
    <n v="21"/>
    <n v="14"/>
    <d v="2026-07-06T00:00:00"/>
    <m/>
    <n v="46209"/>
    <n v="0"/>
    <x v="0"/>
    <s v="12/6- NOA EGLV rcvd. 16/6 - 26/6: Pending balance docs from supplier. 26/6 -Rcvd COO, pndg HC."/>
  </r>
  <r>
    <n v="158"/>
    <x v="8"/>
    <m/>
    <s v="GLDU9666703"/>
    <n v="1510002150"/>
    <s v="PENDING"/>
    <x v="15"/>
    <s v="SG BULOH"/>
    <x v="36"/>
    <m/>
    <m/>
    <m/>
    <s v="MULTI-TRANS"/>
    <m/>
    <m/>
    <m/>
    <m/>
    <m/>
    <m/>
    <x v="0"/>
    <s v="MAQ1032026Y0010375 - Permit applied 15/6"/>
  </r>
  <r>
    <n v="159"/>
    <x v="8"/>
    <m/>
    <s v="TGBU3564695"/>
    <n v="1510002492"/>
    <s v="PENDING"/>
    <x v="15"/>
    <s v="SG BULOH"/>
    <x v="37"/>
    <m/>
    <m/>
    <m/>
    <s v="MULTI-TRANS"/>
    <m/>
    <m/>
    <m/>
    <m/>
    <m/>
    <m/>
    <x v="0"/>
    <s v="MAQ1032026Y0010375 - Permit applied 15/6. ETD 27/06."/>
  </r>
  <r>
    <n v="160"/>
    <x v="2"/>
    <s v="YMJAI488370091"/>
    <s v="YMMU1389928"/>
    <n v="1510002476"/>
    <s v="PENDING"/>
    <x v="3"/>
    <s v="SG BULOH"/>
    <x v="38"/>
    <m/>
    <m/>
    <m/>
    <s v="MULTI-TRANS"/>
    <m/>
    <m/>
    <m/>
    <m/>
    <m/>
    <m/>
    <x v="0"/>
    <s v="MAQ1032026Y0010376 - Permit applied 15/6. 22/6 - LOI sent. 24/6 until 26/6 - Pending OGA."/>
  </r>
  <r>
    <n v="161"/>
    <x v="9"/>
    <s v="YMJAI490593718"/>
    <s v="GAOU2626247"/>
    <n v="1510003547"/>
    <s v="PENDING"/>
    <x v="26"/>
    <s v="SG BULOH"/>
    <x v="36"/>
    <m/>
    <m/>
    <m/>
    <s v="SWIFT"/>
    <n v="14"/>
    <n v="0"/>
    <d v="2026-07-05T00:00:00"/>
    <m/>
    <n v="46208"/>
    <n v="0"/>
    <x v="0"/>
    <s v="19/6 - Rcvd docs, pending COO &amp; HC --&gt; COMBINE 14 DAYS DND. 22/6- sent docs to agent, still pending COO &amp; HC. 24/6 - K1 confirmed. 26/6 -Rcvd COO, pndg HC."/>
  </r>
  <r>
    <n v="162"/>
    <x v="9"/>
    <s v="YMJAI490593718"/>
    <s v="TRHU1210021"/>
    <n v="1510003547"/>
    <s v="PENDING"/>
    <x v="27"/>
    <s v="SG BULOH"/>
    <x v="36"/>
    <m/>
    <m/>
    <m/>
    <s v="SWIFT"/>
    <m/>
    <m/>
    <m/>
    <m/>
    <m/>
    <m/>
    <x v="0"/>
    <s v="19/6 - Rcvd docs, pending COO &amp; HC --&gt; COMBINE 14 DAYS DND. 22/6- sent docs to agent, still pending COO &amp; HC. 24/6 - K1 confirmed. 26/6 -Rcvd COO, pndg HC."/>
  </r>
  <r>
    <n v="163"/>
    <x v="9"/>
    <s v="YMJAI490593718"/>
    <s v="YMMU1188097"/>
    <n v="1510003547"/>
    <s v="PENDING"/>
    <x v="28"/>
    <s v="SG BULOH"/>
    <x v="36"/>
    <m/>
    <m/>
    <m/>
    <s v="SWIFT"/>
    <m/>
    <m/>
    <m/>
    <m/>
    <m/>
    <m/>
    <x v="0"/>
    <s v="19/6 - Rcvd docs, pending COO &amp; HC --&gt; COMBINE 14 DAYS DND. 22/6- sent docs to agent, still pending COO &amp; HC. 24/6 - K1 confirmed. 26/6 -Rcvd COO, pndg HC."/>
  </r>
  <r>
    <n v="164"/>
    <x v="9"/>
    <s v="YMJAI490593718"/>
    <s v="YMMU1375210"/>
    <n v="1510003547"/>
    <s v="PENDING"/>
    <x v="29"/>
    <s v="SG BULOH"/>
    <x v="36"/>
    <m/>
    <m/>
    <m/>
    <s v="SWIFT"/>
    <m/>
    <m/>
    <m/>
    <m/>
    <m/>
    <m/>
    <x v="0"/>
    <s v="19/6 - Rcvd docs, pending COO &amp; HC --&gt; COMBINE 14 DAYS DND. 22/6- sent docs to agent, still pending COO &amp; HC. 24/6 - K1 confirmed. 26/6 -Rcvd COO, pndg HC."/>
  </r>
  <r>
    <n v="165"/>
    <x v="10"/>
    <s v="COAU7269871550"/>
    <s v="CSLU6102701"/>
    <n v="1510003133"/>
    <s v="PENDING"/>
    <x v="30"/>
    <s v="SG BULOH"/>
    <x v="39"/>
    <m/>
    <m/>
    <m/>
    <m/>
    <m/>
    <m/>
    <m/>
    <m/>
    <m/>
    <m/>
    <x v="0"/>
    <s v="23/6 - sste cert sent."/>
  </r>
  <r>
    <n v="166"/>
    <x v="11"/>
    <s v="COAU7269871770"/>
    <s v="FFAU3142608"/>
    <n v="1510003130"/>
    <s v="PENDING"/>
    <x v="31"/>
    <s v="SG BULOH"/>
    <x v="40"/>
    <m/>
    <m/>
    <m/>
    <m/>
    <m/>
    <m/>
    <m/>
    <m/>
    <m/>
    <m/>
    <x v="0"/>
    <s v="19/6 - FFM to bear SST. 25/6 - K1 approved"/>
  </r>
  <r>
    <n v="167"/>
    <x v="11"/>
    <s v="COAU7269864170"/>
    <s v="TGBU4963940"/>
    <n v="1510003264"/>
    <s v="PENDING"/>
    <x v="32"/>
    <s v="SG BULOH"/>
    <x v="39"/>
    <m/>
    <m/>
    <m/>
    <m/>
    <m/>
    <m/>
    <m/>
    <m/>
    <m/>
    <m/>
    <x v="0"/>
    <m/>
  </r>
  <r>
    <n v="168"/>
    <x v="12"/>
    <m/>
    <m/>
    <m/>
    <m/>
    <x v="33"/>
    <m/>
    <x v="39"/>
    <m/>
    <m/>
    <m/>
    <m/>
    <m/>
    <m/>
    <m/>
    <m/>
    <m/>
    <m/>
    <x v="0"/>
    <m/>
  </r>
  <r>
    <n v="169"/>
    <x v="12"/>
    <m/>
    <m/>
    <m/>
    <m/>
    <x v="33"/>
    <m/>
    <x v="39"/>
    <m/>
    <m/>
    <m/>
    <m/>
    <m/>
    <m/>
    <m/>
    <m/>
    <m/>
    <m/>
    <x v="0"/>
    <m/>
  </r>
  <r>
    <n v="170"/>
    <x v="12"/>
    <m/>
    <m/>
    <m/>
    <m/>
    <x v="33"/>
    <m/>
    <x v="39"/>
    <m/>
    <m/>
    <m/>
    <m/>
    <m/>
    <m/>
    <m/>
    <m/>
    <m/>
    <m/>
    <x v="0"/>
    <m/>
  </r>
  <r>
    <n v="171"/>
    <x v="12"/>
    <m/>
    <m/>
    <m/>
    <m/>
    <x v="33"/>
    <m/>
    <x v="39"/>
    <m/>
    <m/>
    <m/>
    <m/>
    <m/>
    <m/>
    <m/>
    <m/>
    <m/>
    <m/>
    <x v="0"/>
    <m/>
  </r>
  <r>
    <n v="172"/>
    <x v="12"/>
    <m/>
    <m/>
    <m/>
    <m/>
    <x v="33"/>
    <m/>
    <x v="39"/>
    <m/>
    <m/>
    <m/>
    <m/>
    <m/>
    <m/>
    <m/>
    <m/>
    <m/>
    <m/>
    <x v="0"/>
    <m/>
  </r>
  <r>
    <n v="173"/>
    <x v="12"/>
    <m/>
    <m/>
    <m/>
    <m/>
    <x v="33"/>
    <m/>
    <x v="39"/>
    <m/>
    <m/>
    <m/>
    <m/>
    <m/>
    <m/>
    <m/>
    <m/>
    <m/>
    <m/>
    <x v="0"/>
    <m/>
  </r>
  <r>
    <n v="174"/>
    <x v="12"/>
    <m/>
    <m/>
    <m/>
    <m/>
    <x v="33"/>
    <m/>
    <x v="39"/>
    <m/>
    <m/>
    <m/>
    <m/>
    <m/>
    <m/>
    <m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32554-D6F0-4501-A72F-09366627F60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3:E8" firstHeaderRow="1" firstDataRow="2" firstDataCol="1" rowPageCount="1" colPageCount="1"/>
  <pivotFields count="23">
    <pivotField showAll="0" defaultSubtotal="0"/>
    <pivotField axis="axisPage" showAll="0" defaultSubtotal="0">
      <items count="13">
        <item x="5"/>
        <item x="1"/>
        <item x="0"/>
        <item x="2"/>
        <item x="8"/>
        <item x="9"/>
        <item x="10"/>
        <item x="7"/>
        <item x="11"/>
        <item x="6"/>
        <item x="3"/>
        <item x="4"/>
        <item x="1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>
      <items count="34">
        <item x="11"/>
        <item x="16"/>
        <item x="5"/>
        <item x="7"/>
        <item x="26"/>
        <item x="28"/>
        <item x="27"/>
        <item x="15"/>
        <item x="3"/>
        <item x="25"/>
        <item x="24"/>
        <item x="23"/>
        <item x="12"/>
        <item x="1"/>
        <item x="2"/>
        <item x="13"/>
        <item x="10"/>
        <item x="29"/>
        <item x="6"/>
        <item x="20"/>
        <item x="18"/>
        <item x="0"/>
        <item x="8"/>
        <item x="4"/>
        <item x="30"/>
        <item x="17"/>
        <item x="21"/>
        <item x="19"/>
        <item x="14"/>
        <item x="22"/>
        <item x="31"/>
        <item x="9"/>
        <item x="32"/>
        <item x="33"/>
      </items>
    </pivotField>
    <pivotField showAll="0" defaultSubtotal="0"/>
    <pivotField showAll="0" defaultSubtotal="0">
      <items count="41">
        <item x="6"/>
        <item x="9"/>
        <item x="7"/>
        <item x="11"/>
        <item x="8"/>
        <item x="3"/>
        <item x="10"/>
        <item x="24"/>
        <item x="5"/>
        <item x="4"/>
        <item x="18"/>
        <item x="12"/>
        <item x="0"/>
        <item x="2"/>
        <item x="1"/>
        <item x="27"/>
        <item x="14"/>
        <item x="15"/>
        <item x="13"/>
        <item x="23"/>
        <item x="25"/>
        <item x="17"/>
        <item x="21"/>
        <item x="22"/>
        <item x="16"/>
        <item x="26"/>
        <item x="29"/>
        <item x="20"/>
        <item x="32"/>
        <item x="35"/>
        <item x="33"/>
        <item x="31"/>
        <item x="30"/>
        <item x="28"/>
        <item x="36"/>
        <item x="19"/>
        <item x="34"/>
        <item x="38"/>
        <item x="40"/>
        <item x="37"/>
        <item x="3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axis="axisCol" showAll="0" defaultSubtotal="0">
      <items count="3">
        <item x="2"/>
        <item x="1"/>
        <item x="0"/>
      </items>
    </pivotField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multipleItemSelectionAllowed="1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2"/>
  </rowFields>
  <rowItems count="4">
    <i>
      <x v="4"/>
    </i>
    <i>
      <x v="5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pageFields count="1">
    <pageField fld="1" item="2" hier="-1"/>
  </pageFields>
  <dataFields count="1">
    <dataField name="Count of DEM TO PAY / DAYS" fld="17" subtotal="count" baseField="0" baseItem="0"/>
  </dataFields>
  <chartFormats count="43">
    <chartFormat chart="18" format="0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0"/>
          </reference>
          <reference field="22" count="1" selected="0">
            <x v="5"/>
          </reference>
        </references>
      </pivotArea>
    </chartFormat>
    <chartFormat chart="18" format="1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1"/>
          </reference>
          <reference field="22" count="1" selected="0">
            <x v="5"/>
          </reference>
        </references>
      </pivotArea>
    </chartFormat>
    <chartFormat chart="18" format="2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0"/>
          </reference>
        </references>
      </pivotArea>
    </chartFormat>
    <chartFormat chart="18" format="3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3"/>
          </reference>
        </references>
      </pivotArea>
    </chartFormat>
    <chartFormat chart="18" format="4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4"/>
          </reference>
        </references>
      </pivotArea>
    </chartFormat>
    <chartFormat chart="18" format="5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5"/>
          </reference>
        </references>
      </pivotArea>
    </chartFormat>
    <chartFormat chart="18" format="6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6"/>
          </reference>
        </references>
      </pivotArea>
    </chartFormat>
    <chartFormat chart="18" format="7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7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8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9" count="1" selected="0">
            <x v="2"/>
          </reference>
        </references>
      </pivotArea>
    </chartFormat>
    <chartFormat chart="18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9" count="1" selected="0">
            <x v="2"/>
          </reference>
        </references>
      </pivotArea>
    </chartFormat>
    <chartFormat chart="18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9" count="1" selected="0">
            <x v="2"/>
          </reference>
        </references>
      </pivotArea>
    </chartFormat>
    <chartFormat chart="18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9" count="1" selected="0">
            <x v="2"/>
          </reference>
        </references>
      </pivotArea>
    </chartFormat>
    <chartFormat chart="18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9" count="1" selected="0">
            <x v="2"/>
          </reference>
        </references>
      </pivotArea>
    </chartFormat>
    <chartFormat chart="18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9" count="1" selected="0">
            <x v="2"/>
          </reference>
        </references>
      </pivotArea>
    </chartFormat>
    <chartFormat chart="18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9" count="1" selected="0">
            <x v="2"/>
          </reference>
        </references>
      </pivotArea>
    </chartFormat>
    <chartFormat chart="18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9" count="1" selected="0">
            <x v="2"/>
          </reference>
        </references>
      </pivotArea>
    </chartFormat>
    <chartFormat chart="18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9" count="1" selected="0">
            <x v="2"/>
          </reference>
        </references>
      </pivotArea>
    </chartFormat>
    <chartFormat chart="18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9" count="1" selected="0">
            <x v="2"/>
          </reference>
        </references>
      </pivotArea>
    </chartFormat>
    <chartFormat chart="18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9" count="1" selected="0">
            <x v="2"/>
          </reference>
        </references>
      </pivotArea>
    </chartFormat>
    <chartFormat chart="18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9" count="1" selected="0">
            <x v="2"/>
          </reference>
        </references>
      </pivotArea>
    </chartFormat>
    <chartFormat chart="18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9" count="1" selected="0">
            <x v="2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3"/>
          </reference>
        </references>
      </pivotArea>
    </chartFormat>
    <chartFormat chart="38" format="4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4"/>
          </reference>
        </references>
      </pivotArea>
    </chartFormat>
    <chartFormat chart="38" format="5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5"/>
          </reference>
        </references>
      </pivotArea>
    </chartFormat>
    <chartFormat chart="38" format="6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6"/>
          </reference>
        </references>
      </pivotArea>
    </chartFormat>
    <chartFormat chart="38" format="7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7"/>
          </reference>
        </references>
      </pivotArea>
    </chartFormat>
    <chartFormat chart="47" format="0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0"/>
          </reference>
          <reference field="22" count="1" selected="0">
            <x v="5"/>
          </reference>
        </references>
      </pivotArea>
    </chartFormat>
    <chartFormat chart="47" format="1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1"/>
          </reference>
          <reference field="22" count="1" selected="0">
            <x v="5"/>
          </reference>
        </references>
      </pivotArea>
    </chartFormat>
    <chartFormat chart="47" format="2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0"/>
          </reference>
        </references>
      </pivotArea>
    </chartFormat>
    <chartFormat chart="47" format="3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3"/>
          </reference>
        </references>
      </pivotArea>
    </chartFormat>
    <chartFormat chart="47" format="4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4"/>
          </reference>
        </references>
      </pivotArea>
    </chartFormat>
    <chartFormat chart="47" format="5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5"/>
          </reference>
        </references>
      </pivotArea>
    </chartFormat>
    <chartFormat chart="47" format="6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6"/>
          </reference>
        </references>
      </pivotArea>
    </chartFormat>
    <chartFormat chart="47" format="7" series="1">
      <pivotArea type="data" outline="0" fieldPosition="0">
        <references count="3">
          <reference field="4294967294" count="1" selected="0">
            <x v="0"/>
          </reference>
          <reference field="19" count="1" selected="0">
            <x v="2"/>
          </reference>
          <reference field="22" count="1" selected="0">
            <x v="7"/>
          </reference>
        </references>
      </pivotArea>
    </chartFormat>
    <chartFormat chart="47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7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7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3E58-91B1-4BC3-A235-CD9412059F7B}">
  <dimension ref="A1:V562"/>
  <sheetViews>
    <sheetView tabSelected="1" zoomScale="85" zoomScaleNormal="85" workbookViewId="0">
      <pane xSplit="7" ySplit="14" topLeftCell="H15" activePane="bottomRight" state="frozen"/>
      <selection pane="topRight" activeCell="H1" sqref="H1"/>
      <selection pane="bottomLeft" activeCell="A15" sqref="A15"/>
      <selection pane="bottomRight" activeCell="I9" sqref="I9"/>
    </sheetView>
  </sheetViews>
  <sheetFormatPr defaultRowHeight="14.4" x14ac:dyDescent="0.3"/>
  <cols>
    <col min="1" max="1" width="4" style="4" bestFit="1" customWidth="1"/>
    <col min="2" max="2" width="18.44140625" customWidth="1"/>
    <col min="3" max="3" width="19.44140625" customWidth="1"/>
    <col min="4" max="4" width="16.6640625" bestFit="1" customWidth="1"/>
    <col min="5" max="5" width="16.44140625" customWidth="1"/>
    <col min="6" max="6" width="11.33203125" customWidth="1"/>
    <col min="7" max="7" width="30.6640625" customWidth="1"/>
    <col min="8" max="8" width="15.6640625" customWidth="1"/>
    <col min="9" max="12" width="13.88671875" style="14" customWidth="1"/>
    <col min="13" max="13" width="21.33203125" customWidth="1"/>
    <col min="14" max="14" width="15.6640625" style="4" customWidth="1"/>
    <col min="15" max="15" width="14.33203125" style="4" customWidth="1"/>
    <col min="16" max="16" width="17.33203125" style="14" customWidth="1"/>
    <col min="17" max="17" width="16.6640625" style="14" customWidth="1"/>
    <col min="18" max="18" width="21.109375" style="18" customWidth="1"/>
    <col min="19" max="19" width="20.5546875" style="27" customWidth="1"/>
    <col min="20" max="21" width="20.5546875" style="4" customWidth="1"/>
    <col min="22" max="22" width="116" customWidth="1"/>
  </cols>
  <sheetData>
    <row r="1" spans="1:22" s="3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9" t="s">
        <v>5</v>
      </c>
      <c r="G1" s="2" t="s">
        <v>6</v>
      </c>
      <c r="H1" s="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" t="s">
        <v>12</v>
      </c>
      <c r="N1" s="5" t="s">
        <v>13</v>
      </c>
      <c r="O1" s="5" t="s">
        <v>14</v>
      </c>
      <c r="P1" s="10" t="s">
        <v>15</v>
      </c>
      <c r="Q1" s="10" t="s">
        <v>16</v>
      </c>
      <c r="R1" s="20" t="s">
        <v>17</v>
      </c>
      <c r="S1" s="5" t="s">
        <v>18</v>
      </c>
      <c r="T1" s="5" t="s">
        <v>5</v>
      </c>
      <c r="U1" s="5" t="s">
        <v>19</v>
      </c>
      <c r="V1" s="2" t="s">
        <v>20</v>
      </c>
    </row>
    <row r="2" spans="1:22" x14ac:dyDescent="0.3">
      <c r="A2" s="6">
        <v>1</v>
      </c>
      <c r="B2" s="1" t="s">
        <v>21</v>
      </c>
      <c r="C2" s="1" t="s">
        <v>22</v>
      </c>
      <c r="D2" s="1" t="s">
        <v>23</v>
      </c>
      <c r="E2" s="1">
        <v>9700017912</v>
      </c>
      <c r="F2" s="8" t="s">
        <v>9</v>
      </c>
      <c r="G2" s="1" t="s">
        <v>24</v>
      </c>
      <c r="H2" s="1" t="s">
        <v>25</v>
      </c>
      <c r="I2" s="11">
        <v>46147</v>
      </c>
      <c r="J2" s="11">
        <v>46156</v>
      </c>
      <c r="K2" s="11">
        <v>46160</v>
      </c>
      <c r="L2" s="11">
        <v>46162</v>
      </c>
      <c r="M2" s="1" t="s">
        <v>26</v>
      </c>
      <c r="N2" s="6">
        <v>10</v>
      </c>
      <c r="O2" s="6">
        <v>10</v>
      </c>
      <c r="P2" s="12">
        <f t="shared" ref="P2" si="0">I2+N2-1</f>
        <v>46156</v>
      </c>
      <c r="Q2" s="11">
        <f t="shared" ref="Q2" si="1">J2+O2-1</f>
        <v>46165</v>
      </c>
      <c r="R2" s="24">
        <f t="shared" ref="R2" si="2">J2-P2</f>
        <v>0</v>
      </c>
      <c r="S2" s="25">
        <f t="shared" ref="S2" si="3">L2-Q2</f>
        <v>-3</v>
      </c>
      <c r="T2" s="23" t="str">
        <f t="shared" ref="T2" si="4">IF(R2&gt;0,"To Paid","No")</f>
        <v>No</v>
      </c>
      <c r="U2" s="23"/>
      <c r="V2" s="1" t="s">
        <v>27</v>
      </c>
    </row>
    <row r="3" spans="1:22" x14ac:dyDescent="0.3">
      <c r="A3" s="6">
        <v>2</v>
      </c>
      <c r="B3" s="1" t="s">
        <v>28</v>
      </c>
      <c r="C3" s="1" t="s">
        <v>29</v>
      </c>
      <c r="D3" s="1" t="s">
        <v>30</v>
      </c>
      <c r="E3" s="1">
        <v>1510002572</v>
      </c>
      <c r="F3" s="8" t="s">
        <v>9</v>
      </c>
      <c r="G3" s="1" t="s">
        <v>31</v>
      </c>
      <c r="H3" s="1" t="s">
        <v>25</v>
      </c>
      <c r="I3" s="12">
        <v>46150</v>
      </c>
      <c r="J3" s="12">
        <v>46175</v>
      </c>
      <c r="K3" s="12">
        <v>46176</v>
      </c>
      <c r="L3" s="12">
        <v>46176</v>
      </c>
      <c r="M3" s="1" t="s">
        <v>32</v>
      </c>
      <c r="N3" s="6">
        <v>14</v>
      </c>
      <c r="O3" s="6">
        <v>0</v>
      </c>
      <c r="P3" s="12">
        <f t="shared" ref="P3:P5" si="5">I3+N3-1</f>
        <v>46163</v>
      </c>
      <c r="Q3" s="11">
        <f t="shared" ref="Q3:Q9" si="6">J3+O3-1</f>
        <v>46174</v>
      </c>
      <c r="R3" s="24">
        <f t="shared" ref="R3:R9" si="7">J3-P3</f>
        <v>12</v>
      </c>
      <c r="S3" s="25">
        <f t="shared" ref="S3:S9" si="8">L3-Q3</f>
        <v>2</v>
      </c>
      <c r="T3" s="23" t="str">
        <f t="shared" ref="T3:T5" si="9">IF(R3&gt;0,"To Paid","No")</f>
        <v>To Paid</v>
      </c>
      <c r="U3" s="23"/>
      <c r="V3" s="1" t="s">
        <v>33</v>
      </c>
    </row>
    <row r="4" spans="1:22" x14ac:dyDescent="0.3">
      <c r="A4" s="6">
        <v>3</v>
      </c>
      <c r="B4" s="1" t="s">
        <v>28</v>
      </c>
      <c r="C4" s="1" t="s">
        <v>34</v>
      </c>
      <c r="D4" s="1" t="s">
        <v>35</v>
      </c>
      <c r="E4" s="1">
        <v>1510002606</v>
      </c>
      <c r="F4" s="8" t="s">
        <v>9</v>
      </c>
      <c r="G4" s="1" t="s">
        <v>36</v>
      </c>
      <c r="H4" s="1" t="s">
        <v>25</v>
      </c>
      <c r="I4" s="11">
        <v>46149</v>
      </c>
      <c r="J4" s="11">
        <v>46157</v>
      </c>
      <c r="K4" s="11">
        <v>46159</v>
      </c>
      <c r="L4" s="11">
        <v>46160</v>
      </c>
      <c r="M4" s="1" t="s">
        <v>32</v>
      </c>
      <c r="N4" s="6">
        <v>10</v>
      </c>
      <c r="O4" s="6">
        <v>4</v>
      </c>
      <c r="P4" s="12">
        <f t="shared" si="5"/>
        <v>46158</v>
      </c>
      <c r="Q4" s="11">
        <f t="shared" si="6"/>
        <v>46160</v>
      </c>
      <c r="R4" s="24">
        <f t="shared" si="7"/>
        <v>-1</v>
      </c>
      <c r="S4" s="25">
        <f t="shared" si="8"/>
        <v>0</v>
      </c>
      <c r="T4" s="23" t="str">
        <f t="shared" si="9"/>
        <v>No</v>
      </c>
      <c r="U4" s="23"/>
      <c r="V4" s="1" t="s">
        <v>37</v>
      </c>
    </row>
    <row r="5" spans="1:22" x14ac:dyDescent="0.3">
      <c r="A5" s="6">
        <v>4</v>
      </c>
      <c r="B5" s="1" t="s">
        <v>28</v>
      </c>
      <c r="C5" s="1" t="s">
        <v>38</v>
      </c>
      <c r="D5" s="1" t="s">
        <v>39</v>
      </c>
      <c r="E5" s="1">
        <v>1510002566</v>
      </c>
      <c r="F5" s="8" t="s">
        <v>9</v>
      </c>
      <c r="G5" s="1" t="s">
        <v>36</v>
      </c>
      <c r="H5" s="1" t="s">
        <v>25</v>
      </c>
      <c r="I5" s="11">
        <v>46129</v>
      </c>
      <c r="J5" s="11">
        <v>46155</v>
      </c>
      <c r="K5" s="11">
        <v>46156</v>
      </c>
      <c r="L5" s="11">
        <v>46157</v>
      </c>
      <c r="M5" s="1" t="s">
        <v>32</v>
      </c>
      <c r="N5" s="6">
        <v>14</v>
      </c>
      <c r="O5" s="6">
        <v>0</v>
      </c>
      <c r="P5" s="12">
        <f t="shared" si="5"/>
        <v>46142</v>
      </c>
      <c r="Q5" s="11">
        <f t="shared" si="6"/>
        <v>46154</v>
      </c>
      <c r="R5" s="24">
        <f t="shared" si="7"/>
        <v>13</v>
      </c>
      <c r="S5" s="25">
        <f t="shared" si="8"/>
        <v>3</v>
      </c>
      <c r="T5" s="23" t="str">
        <f t="shared" si="9"/>
        <v>To Paid</v>
      </c>
      <c r="U5" s="23"/>
      <c r="V5" s="1" t="s">
        <v>40</v>
      </c>
    </row>
    <row r="6" spans="1:22" x14ac:dyDescent="0.3">
      <c r="A6" s="6">
        <v>5</v>
      </c>
      <c r="B6" s="1" t="s">
        <v>41</v>
      </c>
      <c r="C6" s="1" t="s">
        <v>42</v>
      </c>
      <c r="D6" s="1" t="s">
        <v>43</v>
      </c>
      <c r="E6" s="1">
        <v>1510002474</v>
      </c>
      <c r="F6" s="8" t="s">
        <v>9</v>
      </c>
      <c r="G6" s="1" t="s">
        <v>44</v>
      </c>
      <c r="H6" s="1" t="s">
        <v>25</v>
      </c>
      <c r="I6" s="11">
        <v>46141</v>
      </c>
      <c r="J6" s="11">
        <v>46150</v>
      </c>
      <c r="K6" s="11">
        <v>46155</v>
      </c>
      <c r="L6" s="11">
        <v>46155</v>
      </c>
      <c r="M6" s="1" t="s">
        <v>26</v>
      </c>
      <c r="N6" s="6">
        <v>14</v>
      </c>
      <c r="O6" s="6">
        <v>14</v>
      </c>
      <c r="P6" s="12">
        <f>I6+N6-1</f>
        <v>46154</v>
      </c>
      <c r="Q6" s="11">
        <f t="shared" si="6"/>
        <v>46163</v>
      </c>
      <c r="R6" s="24">
        <f t="shared" si="7"/>
        <v>-4</v>
      </c>
      <c r="S6" s="25">
        <f t="shared" si="8"/>
        <v>-8</v>
      </c>
      <c r="T6" s="23" t="str">
        <f t="shared" ref="T6:T9" si="10">IF(R6&gt;0,"To Paid","No")</f>
        <v>No</v>
      </c>
      <c r="U6" s="23"/>
      <c r="V6" s="1"/>
    </row>
    <row r="7" spans="1:22" x14ac:dyDescent="0.3">
      <c r="A7" s="6">
        <v>6</v>
      </c>
      <c r="B7" s="1" t="s">
        <v>45</v>
      </c>
      <c r="C7" s="1" t="s">
        <v>46</v>
      </c>
      <c r="D7" s="1" t="s">
        <v>47</v>
      </c>
      <c r="E7" s="1">
        <v>1510002694</v>
      </c>
      <c r="F7" s="8" t="s">
        <v>9</v>
      </c>
      <c r="G7" s="1" t="s">
        <v>48</v>
      </c>
      <c r="H7" s="1" t="s">
        <v>49</v>
      </c>
      <c r="I7" s="11">
        <v>46139</v>
      </c>
      <c r="J7" s="11">
        <v>46158</v>
      </c>
      <c r="K7" s="11">
        <v>46160</v>
      </c>
      <c r="L7" s="11">
        <v>46160</v>
      </c>
      <c r="M7" s="1" t="s">
        <v>32</v>
      </c>
      <c r="N7" s="6">
        <v>20</v>
      </c>
      <c r="O7" s="6">
        <v>15</v>
      </c>
      <c r="P7" s="12">
        <f t="shared" ref="P7:P9" si="11">I7+N7-1</f>
        <v>46158</v>
      </c>
      <c r="Q7" s="11">
        <f t="shared" si="6"/>
        <v>46172</v>
      </c>
      <c r="R7" s="24">
        <f t="shared" si="7"/>
        <v>0</v>
      </c>
      <c r="S7" s="25">
        <f t="shared" si="8"/>
        <v>-12</v>
      </c>
      <c r="T7" s="23" t="str">
        <f t="shared" si="10"/>
        <v>No</v>
      </c>
      <c r="U7" s="23"/>
      <c r="V7" s="1" t="s">
        <v>50</v>
      </c>
    </row>
    <row r="8" spans="1:22" x14ac:dyDescent="0.3">
      <c r="A8" s="6">
        <v>7</v>
      </c>
      <c r="B8" s="1" t="s">
        <v>51</v>
      </c>
      <c r="C8" s="1" t="s">
        <v>52</v>
      </c>
      <c r="D8" s="1" t="s">
        <v>53</v>
      </c>
      <c r="E8" s="1">
        <v>1510002786</v>
      </c>
      <c r="F8" s="8" t="s">
        <v>9</v>
      </c>
      <c r="G8" s="1" t="s">
        <v>54</v>
      </c>
      <c r="H8" s="1" t="s">
        <v>55</v>
      </c>
      <c r="I8" s="12">
        <v>46149</v>
      </c>
      <c r="J8" s="12">
        <v>46151</v>
      </c>
      <c r="K8" s="12">
        <v>46153</v>
      </c>
      <c r="L8" s="12">
        <v>46143</v>
      </c>
      <c r="M8" s="1" t="s">
        <v>32</v>
      </c>
      <c r="N8" s="6">
        <v>20</v>
      </c>
      <c r="O8" s="6">
        <v>15</v>
      </c>
      <c r="P8" s="12">
        <f t="shared" si="11"/>
        <v>46168</v>
      </c>
      <c r="Q8" s="11">
        <f t="shared" si="6"/>
        <v>46165</v>
      </c>
      <c r="R8" s="24">
        <f t="shared" si="7"/>
        <v>-17</v>
      </c>
      <c r="S8" s="25">
        <f t="shared" si="8"/>
        <v>-22</v>
      </c>
      <c r="T8" s="23" t="str">
        <f t="shared" si="10"/>
        <v>No</v>
      </c>
      <c r="U8" s="23"/>
      <c r="V8" s="1" t="s">
        <v>56</v>
      </c>
    </row>
    <row r="9" spans="1:22" x14ac:dyDescent="0.3">
      <c r="A9" s="6">
        <v>8</v>
      </c>
      <c r="B9" s="1" t="s">
        <v>57</v>
      </c>
      <c r="C9" s="1" t="s">
        <v>58</v>
      </c>
      <c r="D9" s="1" t="s">
        <v>59</v>
      </c>
      <c r="E9" s="1">
        <v>1510002760</v>
      </c>
      <c r="F9" s="8" t="s">
        <v>9</v>
      </c>
      <c r="G9" s="1" t="s">
        <v>60</v>
      </c>
      <c r="H9" s="1" t="s">
        <v>25</v>
      </c>
      <c r="I9" s="11">
        <v>46139</v>
      </c>
      <c r="J9" s="11">
        <v>46156</v>
      </c>
      <c r="K9" s="11">
        <v>46156</v>
      </c>
      <c r="L9" s="11">
        <v>46156</v>
      </c>
      <c r="M9" s="1" t="s">
        <v>26</v>
      </c>
      <c r="N9" s="6"/>
      <c r="O9" s="6"/>
      <c r="P9" s="12">
        <f t="shared" si="11"/>
        <v>46138</v>
      </c>
      <c r="Q9" s="11">
        <f t="shared" si="6"/>
        <v>46155</v>
      </c>
      <c r="R9" s="24">
        <f t="shared" si="7"/>
        <v>18</v>
      </c>
      <c r="S9" s="25">
        <f t="shared" si="8"/>
        <v>1</v>
      </c>
      <c r="T9" s="23" t="str">
        <f t="shared" si="10"/>
        <v>To Paid</v>
      </c>
      <c r="U9" s="23"/>
      <c r="V9" s="1" t="s">
        <v>61</v>
      </c>
    </row>
    <row r="10" spans="1:22" x14ac:dyDescent="0.3">
      <c r="A10" s="6">
        <v>9</v>
      </c>
      <c r="B10" s="1" t="s">
        <v>62</v>
      </c>
      <c r="C10" s="1" t="s">
        <v>63</v>
      </c>
      <c r="D10" s="1" t="s">
        <v>64</v>
      </c>
      <c r="E10" s="1">
        <v>1510002624</v>
      </c>
      <c r="F10" s="8" t="s">
        <v>9</v>
      </c>
      <c r="G10" s="1" t="s">
        <v>65</v>
      </c>
      <c r="H10" s="1" t="s">
        <v>66</v>
      </c>
      <c r="I10" s="11">
        <v>46097</v>
      </c>
      <c r="J10" s="11">
        <v>46140</v>
      </c>
      <c r="K10" s="11">
        <v>46142</v>
      </c>
      <c r="L10" s="11">
        <v>46143</v>
      </c>
      <c r="M10" s="1" t="s">
        <v>32</v>
      </c>
      <c r="N10" s="6">
        <v>20</v>
      </c>
      <c r="O10" s="6">
        <v>15</v>
      </c>
      <c r="P10" s="12">
        <f t="shared" ref="P10:P43" si="12">I10+N10-1</f>
        <v>46116</v>
      </c>
      <c r="Q10" s="11">
        <f t="shared" ref="Q10:Q43" si="13">J10+O10-1</f>
        <v>46154</v>
      </c>
      <c r="R10" s="24">
        <f t="shared" ref="R10:R43" si="14">J10-P10</f>
        <v>24</v>
      </c>
      <c r="S10" s="25">
        <f t="shared" ref="S10:S43" si="15">L10-Q10</f>
        <v>-11</v>
      </c>
      <c r="T10" s="23" t="str">
        <f t="shared" ref="T10:T43" si="16">IF(R10&gt;0,"To Paid","No")</f>
        <v>To Paid</v>
      </c>
      <c r="U10" s="23"/>
      <c r="V10" s="1" t="s">
        <v>67</v>
      </c>
    </row>
    <row r="11" spans="1:22" x14ac:dyDescent="0.3">
      <c r="A11" s="6">
        <v>10</v>
      </c>
      <c r="B11" s="1" t="s">
        <v>62</v>
      </c>
      <c r="C11" s="1" t="s">
        <v>63</v>
      </c>
      <c r="D11" s="1" t="s">
        <v>68</v>
      </c>
      <c r="E11" s="1">
        <v>1510002624</v>
      </c>
      <c r="F11" s="8" t="s">
        <v>9</v>
      </c>
      <c r="G11" s="1" t="s">
        <v>65</v>
      </c>
      <c r="H11" s="1" t="s">
        <v>66</v>
      </c>
      <c r="I11" s="11">
        <v>46097</v>
      </c>
      <c r="J11" s="11">
        <v>46135</v>
      </c>
      <c r="K11" s="11">
        <v>46140</v>
      </c>
      <c r="L11" s="11">
        <v>46140</v>
      </c>
      <c r="M11" s="1" t="s">
        <v>32</v>
      </c>
      <c r="N11" s="6">
        <v>20</v>
      </c>
      <c r="O11" s="6">
        <v>15</v>
      </c>
      <c r="P11" s="12">
        <f t="shared" si="12"/>
        <v>46116</v>
      </c>
      <c r="Q11" s="11">
        <f t="shared" si="13"/>
        <v>46149</v>
      </c>
      <c r="R11" s="24">
        <f t="shared" si="14"/>
        <v>19</v>
      </c>
      <c r="S11" s="25">
        <f t="shared" si="15"/>
        <v>-9</v>
      </c>
      <c r="T11" s="23" t="str">
        <f t="shared" si="16"/>
        <v>To Paid</v>
      </c>
      <c r="U11" s="23"/>
      <c r="V11" s="1" t="s">
        <v>67</v>
      </c>
    </row>
    <row r="12" spans="1:22" x14ac:dyDescent="0.3">
      <c r="A12" s="6">
        <v>11</v>
      </c>
      <c r="B12" s="1" t="s">
        <v>62</v>
      </c>
      <c r="C12" s="1" t="s">
        <v>63</v>
      </c>
      <c r="D12" s="1" t="s">
        <v>69</v>
      </c>
      <c r="E12" s="1">
        <v>1510002624</v>
      </c>
      <c r="F12" s="8" t="s">
        <v>9</v>
      </c>
      <c r="G12" s="1" t="s">
        <v>65</v>
      </c>
      <c r="H12" s="1" t="s">
        <v>66</v>
      </c>
      <c r="I12" s="11">
        <v>46097</v>
      </c>
      <c r="J12" s="11">
        <v>46140</v>
      </c>
      <c r="K12" s="11">
        <v>46142</v>
      </c>
      <c r="L12" s="11">
        <v>46143</v>
      </c>
      <c r="M12" s="1" t="s">
        <v>32</v>
      </c>
      <c r="N12" s="6">
        <v>20</v>
      </c>
      <c r="O12" s="6">
        <v>15</v>
      </c>
      <c r="P12" s="12">
        <f t="shared" si="12"/>
        <v>46116</v>
      </c>
      <c r="Q12" s="11">
        <f t="shared" si="13"/>
        <v>46154</v>
      </c>
      <c r="R12" s="24">
        <f t="shared" si="14"/>
        <v>24</v>
      </c>
      <c r="S12" s="25">
        <f t="shared" si="15"/>
        <v>-11</v>
      </c>
      <c r="T12" s="23" t="str">
        <f t="shared" si="16"/>
        <v>To Paid</v>
      </c>
      <c r="U12" s="23"/>
      <c r="V12" s="1" t="s">
        <v>67</v>
      </c>
    </row>
    <row r="13" spans="1:22" x14ac:dyDescent="0.3">
      <c r="A13" s="6">
        <v>12</v>
      </c>
      <c r="B13" s="1" t="s">
        <v>62</v>
      </c>
      <c r="C13" s="1" t="s">
        <v>63</v>
      </c>
      <c r="D13" s="1" t="s">
        <v>70</v>
      </c>
      <c r="E13" s="1">
        <v>1510002624</v>
      </c>
      <c r="F13" s="8" t="s">
        <v>9</v>
      </c>
      <c r="G13" s="1" t="s">
        <v>65</v>
      </c>
      <c r="H13" s="1" t="s">
        <v>66</v>
      </c>
      <c r="I13" s="11">
        <v>46097</v>
      </c>
      <c r="J13" s="11">
        <v>46135</v>
      </c>
      <c r="K13" s="11">
        <v>46142</v>
      </c>
      <c r="L13" s="11">
        <v>46143</v>
      </c>
      <c r="M13" s="1" t="s">
        <v>32</v>
      </c>
      <c r="N13" s="6">
        <v>20</v>
      </c>
      <c r="O13" s="6">
        <v>15</v>
      </c>
      <c r="P13" s="12">
        <f t="shared" si="12"/>
        <v>46116</v>
      </c>
      <c r="Q13" s="11">
        <f t="shared" si="13"/>
        <v>46149</v>
      </c>
      <c r="R13" s="24">
        <f t="shared" si="14"/>
        <v>19</v>
      </c>
      <c r="S13" s="25">
        <f t="shared" si="15"/>
        <v>-6</v>
      </c>
      <c r="T13" s="23" t="str">
        <f t="shared" si="16"/>
        <v>To Paid</v>
      </c>
      <c r="U13" s="23"/>
      <c r="V13" s="1" t="s">
        <v>67</v>
      </c>
    </row>
    <row r="14" spans="1:22" x14ac:dyDescent="0.3">
      <c r="A14" s="6">
        <v>13</v>
      </c>
      <c r="B14" s="1" t="s">
        <v>62</v>
      </c>
      <c r="C14" s="1" t="s">
        <v>71</v>
      </c>
      <c r="D14" s="1" t="s">
        <v>72</v>
      </c>
      <c r="E14" s="1">
        <v>1510002625</v>
      </c>
      <c r="F14" s="8" t="s">
        <v>9</v>
      </c>
      <c r="G14" s="1" t="s">
        <v>65</v>
      </c>
      <c r="H14" s="1" t="s">
        <v>66</v>
      </c>
      <c r="I14" s="11">
        <v>46097</v>
      </c>
      <c r="J14" s="11">
        <v>46143</v>
      </c>
      <c r="K14" s="11">
        <v>46144</v>
      </c>
      <c r="L14" s="11">
        <v>46144</v>
      </c>
      <c r="M14" s="1" t="s">
        <v>32</v>
      </c>
      <c r="N14" s="6">
        <v>20</v>
      </c>
      <c r="O14" s="6">
        <v>15</v>
      </c>
      <c r="P14" s="12">
        <f t="shared" si="12"/>
        <v>46116</v>
      </c>
      <c r="Q14" s="11">
        <f t="shared" si="13"/>
        <v>46157</v>
      </c>
      <c r="R14" s="24">
        <f t="shared" si="14"/>
        <v>27</v>
      </c>
      <c r="S14" s="25">
        <f t="shared" si="15"/>
        <v>-13</v>
      </c>
      <c r="T14" s="23" t="str">
        <f t="shared" si="16"/>
        <v>To Paid</v>
      </c>
      <c r="U14" s="23"/>
      <c r="V14" s="1" t="s">
        <v>67</v>
      </c>
    </row>
    <row r="15" spans="1:22" x14ac:dyDescent="0.3">
      <c r="A15" s="6">
        <v>14</v>
      </c>
      <c r="B15" s="1" t="s">
        <v>62</v>
      </c>
      <c r="C15" s="1" t="s">
        <v>71</v>
      </c>
      <c r="D15" s="1" t="s">
        <v>73</v>
      </c>
      <c r="E15" s="1">
        <v>1510002625</v>
      </c>
      <c r="F15" s="8" t="s">
        <v>9</v>
      </c>
      <c r="G15" s="1" t="s">
        <v>65</v>
      </c>
      <c r="H15" s="1" t="s">
        <v>66</v>
      </c>
      <c r="I15" s="11">
        <v>46097</v>
      </c>
      <c r="J15" s="11">
        <v>46143</v>
      </c>
      <c r="K15" s="11">
        <v>46144</v>
      </c>
      <c r="L15" s="11">
        <v>46145</v>
      </c>
      <c r="M15" s="1" t="s">
        <v>32</v>
      </c>
      <c r="N15" s="6">
        <v>20</v>
      </c>
      <c r="O15" s="6">
        <v>15</v>
      </c>
      <c r="P15" s="12">
        <f t="shared" si="12"/>
        <v>46116</v>
      </c>
      <c r="Q15" s="11">
        <f t="shared" si="13"/>
        <v>46157</v>
      </c>
      <c r="R15" s="24">
        <f t="shared" si="14"/>
        <v>27</v>
      </c>
      <c r="S15" s="25">
        <f t="shared" si="15"/>
        <v>-12</v>
      </c>
      <c r="T15" s="23" t="str">
        <f t="shared" si="16"/>
        <v>To Paid</v>
      </c>
      <c r="U15" s="23"/>
      <c r="V15" s="1" t="s">
        <v>67</v>
      </c>
    </row>
    <row r="16" spans="1:22" x14ac:dyDescent="0.3">
      <c r="A16" s="6">
        <v>15</v>
      </c>
      <c r="B16" s="1" t="s">
        <v>62</v>
      </c>
      <c r="C16" s="1" t="s">
        <v>71</v>
      </c>
      <c r="D16" s="1" t="s">
        <v>74</v>
      </c>
      <c r="E16" s="1">
        <v>1510002625</v>
      </c>
      <c r="F16" s="8" t="s">
        <v>9</v>
      </c>
      <c r="G16" s="1" t="s">
        <v>65</v>
      </c>
      <c r="H16" s="1" t="s">
        <v>66</v>
      </c>
      <c r="I16" s="11">
        <v>46097</v>
      </c>
      <c r="J16" s="11">
        <v>46143</v>
      </c>
      <c r="K16" s="11">
        <v>46144</v>
      </c>
      <c r="L16" s="11">
        <v>46144</v>
      </c>
      <c r="M16" s="1" t="s">
        <v>32</v>
      </c>
      <c r="N16" s="6">
        <v>20</v>
      </c>
      <c r="O16" s="6">
        <v>15</v>
      </c>
      <c r="P16" s="12">
        <f t="shared" si="12"/>
        <v>46116</v>
      </c>
      <c r="Q16" s="11">
        <f t="shared" si="13"/>
        <v>46157</v>
      </c>
      <c r="R16" s="24">
        <f t="shared" si="14"/>
        <v>27</v>
      </c>
      <c r="S16" s="25">
        <f t="shared" si="15"/>
        <v>-13</v>
      </c>
      <c r="T16" s="23" t="str">
        <f t="shared" si="16"/>
        <v>To Paid</v>
      </c>
      <c r="U16" s="23"/>
      <c r="V16" s="1" t="s">
        <v>67</v>
      </c>
    </row>
    <row r="17" spans="1:22" x14ac:dyDescent="0.3">
      <c r="A17" s="6">
        <v>16</v>
      </c>
      <c r="B17" s="1" t="s">
        <v>62</v>
      </c>
      <c r="C17" s="1" t="s">
        <v>71</v>
      </c>
      <c r="D17" s="1" t="s">
        <v>75</v>
      </c>
      <c r="E17" s="1">
        <v>1510002625</v>
      </c>
      <c r="F17" s="8" t="s">
        <v>9</v>
      </c>
      <c r="G17" s="1" t="s">
        <v>65</v>
      </c>
      <c r="H17" s="1" t="s">
        <v>66</v>
      </c>
      <c r="I17" s="11">
        <v>46097</v>
      </c>
      <c r="J17" s="11">
        <v>46144</v>
      </c>
      <c r="K17" s="11">
        <v>46146</v>
      </c>
      <c r="L17" s="11">
        <v>46147</v>
      </c>
      <c r="M17" s="1" t="s">
        <v>32</v>
      </c>
      <c r="N17" s="6">
        <v>20</v>
      </c>
      <c r="O17" s="6">
        <v>15</v>
      </c>
      <c r="P17" s="12">
        <f t="shared" si="12"/>
        <v>46116</v>
      </c>
      <c r="Q17" s="11">
        <f t="shared" si="13"/>
        <v>46158</v>
      </c>
      <c r="R17" s="24">
        <f t="shared" si="14"/>
        <v>28</v>
      </c>
      <c r="S17" s="25">
        <f t="shared" si="15"/>
        <v>-11</v>
      </c>
      <c r="T17" s="23" t="str">
        <f t="shared" si="16"/>
        <v>To Paid</v>
      </c>
      <c r="U17" s="23"/>
      <c r="V17" s="1" t="s">
        <v>67</v>
      </c>
    </row>
    <row r="18" spans="1:22" x14ac:dyDescent="0.3">
      <c r="A18" s="6">
        <v>17</v>
      </c>
      <c r="B18" s="1" t="s">
        <v>62</v>
      </c>
      <c r="C18" s="1" t="s">
        <v>76</v>
      </c>
      <c r="D18" s="1" t="s">
        <v>77</v>
      </c>
      <c r="E18" s="1">
        <v>1510002627</v>
      </c>
      <c r="F18" s="8" t="s">
        <v>9</v>
      </c>
      <c r="G18" s="1" t="s">
        <v>65</v>
      </c>
      <c r="H18" s="1" t="s">
        <v>66</v>
      </c>
      <c r="I18" s="11">
        <v>46114</v>
      </c>
      <c r="J18" s="11">
        <v>46145</v>
      </c>
      <c r="K18" s="11">
        <v>46147</v>
      </c>
      <c r="L18" s="11">
        <v>46147</v>
      </c>
      <c r="M18" s="1" t="s">
        <v>32</v>
      </c>
      <c r="N18" s="6">
        <v>32</v>
      </c>
      <c r="O18" s="6">
        <v>3</v>
      </c>
      <c r="P18" s="12">
        <f t="shared" si="12"/>
        <v>46145</v>
      </c>
      <c r="Q18" s="11">
        <f t="shared" si="13"/>
        <v>46147</v>
      </c>
      <c r="R18" s="24">
        <f t="shared" si="14"/>
        <v>0</v>
      </c>
      <c r="S18" s="25">
        <f t="shared" si="15"/>
        <v>0</v>
      </c>
      <c r="T18" s="23" t="str">
        <f t="shared" si="16"/>
        <v>No</v>
      </c>
      <c r="U18" s="23"/>
      <c r="V18" s="1" t="s">
        <v>67</v>
      </c>
    </row>
    <row r="19" spans="1:22" x14ac:dyDescent="0.3">
      <c r="A19" s="6">
        <v>18</v>
      </c>
      <c r="B19" s="1" t="s">
        <v>62</v>
      </c>
      <c r="C19" s="1" t="s">
        <v>76</v>
      </c>
      <c r="D19" s="1" t="s">
        <v>78</v>
      </c>
      <c r="E19" s="1">
        <v>1510002627</v>
      </c>
      <c r="F19" s="8" t="s">
        <v>9</v>
      </c>
      <c r="G19" s="1" t="s">
        <v>65</v>
      </c>
      <c r="H19" s="1" t="s">
        <v>66</v>
      </c>
      <c r="I19" s="11">
        <v>46114</v>
      </c>
      <c r="J19" s="11">
        <v>46145</v>
      </c>
      <c r="K19" s="11">
        <v>46146</v>
      </c>
      <c r="L19" s="11">
        <v>46147</v>
      </c>
      <c r="M19" s="1" t="s">
        <v>32</v>
      </c>
      <c r="N19" s="6">
        <v>32</v>
      </c>
      <c r="O19" s="6">
        <v>3</v>
      </c>
      <c r="P19" s="12">
        <f t="shared" si="12"/>
        <v>46145</v>
      </c>
      <c r="Q19" s="11">
        <f t="shared" si="13"/>
        <v>46147</v>
      </c>
      <c r="R19" s="24">
        <f t="shared" si="14"/>
        <v>0</v>
      </c>
      <c r="S19" s="25">
        <f t="shared" si="15"/>
        <v>0</v>
      </c>
      <c r="T19" s="23" t="str">
        <f t="shared" si="16"/>
        <v>No</v>
      </c>
      <c r="U19" s="23"/>
      <c r="V19" s="1" t="s">
        <v>79</v>
      </c>
    </row>
    <row r="20" spans="1:22" x14ac:dyDescent="0.3">
      <c r="A20" s="6">
        <v>19</v>
      </c>
      <c r="B20" s="1" t="s">
        <v>62</v>
      </c>
      <c r="C20" s="1" t="s">
        <v>76</v>
      </c>
      <c r="D20" s="1" t="s">
        <v>80</v>
      </c>
      <c r="E20" s="1">
        <v>1510002627</v>
      </c>
      <c r="F20" s="8" t="s">
        <v>9</v>
      </c>
      <c r="G20" s="1" t="s">
        <v>65</v>
      </c>
      <c r="H20" s="1" t="s">
        <v>66</v>
      </c>
      <c r="I20" s="11">
        <v>46114</v>
      </c>
      <c r="J20" s="11">
        <v>46147</v>
      </c>
      <c r="K20" s="11">
        <v>46147</v>
      </c>
      <c r="L20" s="11">
        <v>46149</v>
      </c>
      <c r="M20" s="1" t="s">
        <v>32</v>
      </c>
      <c r="N20" s="6">
        <v>34</v>
      </c>
      <c r="O20" s="6">
        <v>1</v>
      </c>
      <c r="P20" s="12">
        <f t="shared" si="12"/>
        <v>46147</v>
      </c>
      <c r="Q20" s="11">
        <f t="shared" si="13"/>
        <v>46147</v>
      </c>
      <c r="R20" s="24">
        <f t="shared" si="14"/>
        <v>0</v>
      </c>
      <c r="S20" s="25">
        <f t="shared" si="15"/>
        <v>2</v>
      </c>
      <c r="T20" s="23" t="str">
        <f t="shared" si="16"/>
        <v>No</v>
      </c>
      <c r="U20" s="23"/>
      <c r="V20" s="1" t="s">
        <v>67</v>
      </c>
    </row>
    <row r="21" spans="1:22" x14ac:dyDescent="0.3">
      <c r="A21" s="6">
        <v>20</v>
      </c>
      <c r="B21" s="1" t="s">
        <v>62</v>
      </c>
      <c r="C21" s="1" t="s">
        <v>76</v>
      </c>
      <c r="D21" s="1" t="s">
        <v>81</v>
      </c>
      <c r="E21" s="1">
        <v>1510002627</v>
      </c>
      <c r="F21" s="8" t="s">
        <v>9</v>
      </c>
      <c r="G21" s="1" t="s">
        <v>65</v>
      </c>
      <c r="H21" s="1" t="s">
        <v>66</v>
      </c>
      <c r="I21" s="11">
        <v>46114</v>
      </c>
      <c r="J21" s="11">
        <v>46145</v>
      </c>
      <c r="K21" s="11">
        <v>46147</v>
      </c>
      <c r="L21" s="11">
        <v>46148</v>
      </c>
      <c r="M21" s="1" t="s">
        <v>32</v>
      </c>
      <c r="N21" s="6">
        <v>32</v>
      </c>
      <c r="O21" s="6">
        <v>3</v>
      </c>
      <c r="P21" s="12">
        <f t="shared" si="12"/>
        <v>46145</v>
      </c>
      <c r="Q21" s="11">
        <f t="shared" si="13"/>
        <v>46147</v>
      </c>
      <c r="R21" s="24">
        <f t="shared" si="14"/>
        <v>0</v>
      </c>
      <c r="S21" s="25">
        <f t="shared" si="15"/>
        <v>1</v>
      </c>
      <c r="T21" s="23" t="str">
        <f t="shared" si="16"/>
        <v>No</v>
      </c>
      <c r="U21" s="23"/>
      <c r="V21" s="1" t="s">
        <v>82</v>
      </c>
    </row>
    <row r="22" spans="1:22" x14ac:dyDescent="0.3">
      <c r="A22" s="6">
        <v>21</v>
      </c>
      <c r="B22" s="1" t="s">
        <v>62</v>
      </c>
      <c r="C22" s="1" t="s">
        <v>83</v>
      </c>
      <c r="D22" s="1" t="s">
        <v>84</v>
      </c>
      <c r="E22" s="1">
        <v>1510002628</v>
      </c>
      <c r="F22" s="8" t="s">
        <v>9</v>
      </c>
      <c r="G22" s="1" t="s">
        <v>65</v>
      </c>
      <c r="H22" s="1" t="s">
        <v>66</v>
      </c>
      <c r="I22" s="11">
        <v>46128</v>
      </c>
      <c r="J22" s="11">
        <v>46147</v>
      </c>
      <c r="K22" s="11">
        <v>46148</v>
      </c>
      <c r="L22" s="11">
        <v>46149</v>
      </c>
      <c r="M22" s="1" t="s">
        <v>32</v>
      </c>
      <c r="N22" s="6">
        <v>20</v>
      </c>
      <c r="O22" s="6">
        <v>15</v>
      </c>
      <c r="P22" s="12">
        <f t="shared" si="12"/>
        <v>46147</v>
      </c>
      <c r="Q22" s="11">
        <f t="shared" si="13"/>
        <v>46161</v>
      </c>
      <c r="R22" s="24">
        <f t="shared" si="14"/>
        <v>0</v>
      </c>
      <c r="S22" s="25">
        <f t="shared" si="15"/>
        <v>-12</v>
      </c>
      <c r="T22" s="23" t="str">
        <f t="shared" si="16"/>
        <v>No</v>
      </c>
      <c r="U22" s="23"/>
      <c r="V22" s="1" t="s">
        <v>67</v>
      </c>
    </row>
    <row r="23" spans="1:22" x14ac:dyDescent="0.3">
      <c r="A23" s="6">
        <v>22</v>
      </c>
      <c r="B23" s="1" t="s">
        <v>62</v>
      </c>
      <c r="C23" s="1" t="s">
        <v>83</v>
      </c>
      <c r="D23" s="1" t="s">
        <v>85</v>
      </c>
      <c r="E23" s="1">
        <v>1510002628</v>
      </c>
      <c r="F23" s="8" t="s">
        <v>9</v>
      </c>
      <c r="G23" s="1" t="s">
        <v>65</v>
      </c>
      <c r="H23" s="1" t="s">
        <v>66</v>
      </c>
      <c r="I23" s="11">
        <v>46128</v>
      </c>
      <c r="J23" s="11">
        <v>46149</v>
      </c>
      <c r="K23" s="11">
        <v>46154</v>
      </c>
      <c r="L23" s="11">
        <v>46154</v>
      </c>
      <c r="M23" s="1" t="s">
        <v>32</v>
      </c>
      <c r="N23" s="6">
        <v>20</v>
      </c>
      <c r="O23" s="6">
        <v>15</v>
      </c>
      <c r="P23" s="12">
        <f t="shared" si="12"/>
        <v>46147</v>
      </c>
      <c r="Q23" s="11">
        <f t="shared" si="13"/>
        <v>46163</v>
      </c>
      <c r="R23" s="24">
        <f t="shared" si="14"/>
        <v>2</v>
      </c>
      <c r="S23" s="25">
        <f t="shared" si="15"/>
        <v>-9</v>
      </c>
      <c r="T23" s="23" t="str">
        <f t="shared" si="16"/>
        <v>To Paid</v>
      </c>
      <c r="U23" s="23"/>
      <c r="V23" s="1" t="s">
        <v>67</v>
      </c>
    </row>
    <row r="24" spans="1:22" x14ac:dyDescent="0.3">
      <c r="A24" s="6">
        <v>23</v>
      </c>
      <c r="B24" s="1" t="s">
        <v>62</v>
      </c>
      <c r="C24" s="1" t="s">
        <v>86</v>
      </c>
      <c r="D24" s="1" t="s">
        <v>87</v>
      </c>
      <c r="E24" s="1">
        <v>1510002861</v>
      </c>
      <c r="F24" s="8" t="s">
        <v>9</v>
      </c>
      <c r="G24" s="1" t="s">
        <v>65</v>
      </c>
      <c r="H24" s="1" t="s">
        <v>66</v>
      </c>
      <c r="I24" s="11">
        <v>46128</v>
      </c>
      <c r="J24" s="11">
        <v>46149</v>
      </c>
      <c r="K24" s="11">
        <v>46153</v>
      </c>
      <c r="L24" s="11">
        <v>46153</v>
      </c>
      <c r="M24" s="1" t="s">
        <v>32</v>
      </c>
      <c r="N24" s="6">
        <v>20</v>
      </c>
      <c r="O24" s="6">
        <v>15</v>
      </c>
      <c r="P24" s="12">
        <f t="shared" si="12"/>
        <v>46147</v>
      </c>
      <c r="Q24" s="11">
        <f t="shared" si="13"/>
        <v>46163</v>
      </c>
      <c r="R24" s="24">
        <f t="shared" si="14"/>
        <v>2</v>
      </c>
      <c r="S24" s="25">
        <f t="shared" si="15"/>
        <v>-10</v>
      </c>
      <c r="T24" s="23" t="str">
        <f t="shared" si="16"/>
        <v>To Paid</v>
      </c>
      <c r="U24" s="23"/>
      <c r="V24" s="1" t="s">
        <v>88</v>
      </c>
    </row>
    <row r="25" spans="1:22" x14ac:dyDescent="0.3">
      <c r="A25" s="6">
        <v>24</v>
      </c>
      <c r="B25" s="1" t="s">
        <v>62</v>
      </c>
      <c r="C25" s="1" t="s">
        <v>86</v>
      </c>
      <c r="D25" s="1" t="s">
        <v>89</v>
      </c>
      <c r="E25" s="1">
        <v>1510002861</v>
      </c>
      <c r="F25" s="8" t="s">
        <v>9</v>
      </c>
      <c r="G25" s="1" t="s">
        <v>65</v>
      </c>
      <c r="H25" s="1" t="s">
        <v>66</v>
      </c>
      <c r="I25" s="11">
        <v>46128</v>
      </c>
      <c r="J25" s="11">
        <v>46149</v>
      </c>
      <c r="K25" s="11">
        <v>46155</v>
      </c>
      <c r="L25" s="11">
        <v>46155</v>
      </c>
      <c r="M25" s="1" t="s">
        <v>32</v>
      </c>
      <c r="N25" s="6">
        <v>20</v>
      </c>
      <c r="O25" s="6">
        <v>15</v>
      </c>
      <c r="P25" s="12">
        <f t="shared" si="12"/>
        <v>46147</v>
      </c>
      <c r="Q25" s="11">
        <f t="shared" si="13"/>
        <v>46163</v>
      </c>
      <c r="R25" s="24">
        <f t="shared" si="14"/>
        <v>2</v>
      </c>
      <c r="S25" s="25">
        <f t="shared" si="15"/>
        <v>-8</v>
      </c>
      <c r="T25" s="23" t="str">
        <f t="shared" si="16"/>
        <v>To Paid</v>
      </c>
      <c r="U25" s="23"/>
      <c r="V25" s="1" t="s">
        <v>67</v>
      </c>
    </row>
    <row r="26" spans="1:22" x14ac:dyDescent="0.3">
      <c r="A26" s="6">
        <v>25</v>
      </c>
      <c r="B26" s="1" t="s">
        <v>62</v>
      </c>
      <c r="C26" s="1" t="s">
        <v>90</v>
      </c>
      <c r="D26" s="1" t="s">
        <v>91</v>
      </c>
      <c r="E26" s="1">
        <v>1510002626</v>
      </c>
      <c r="F26" s="8" t="s">
        <v>9</v>
      </c>
      <c r="G26" s="1" t="s">
        <v>65</v>
      </c>
      <c r="H26" s="1" t="s">
        <v>66</v>
      </c>
      <c r="I26" s="11">
        <v>46108</v>
      </c>
      <c r="J26" s="11">
        <v>46147</v>
      </c>
      <c r="K26" s="11">
        <v>46148</v>
      </c>
      <c r="L26" s="11">
        <v>46149</v>
      </c>
      <c r="M26" s="1" t="s">
        <v>32</v>
      </c>
      <c r="N26" s="6">
        <v>20</v>
      </c>
      <c r="O26" s="6">
        <v>15</v>
      </c>
      <c r="P26" s="12">
        <f t="shared" si="12"/>
        <v>46127</v>
      </c>
      <c r="Q26" s="11">
        <f t="shared" si="13"/>
        <v>46161</v>
      </c>
      <c r="R26" s="24">
        <f t="shared" si="14"/>
        <v>20</v>
      </c>
      <c r="S26" s="25">
        <f t="shared" si="15"/>
        <v>-12</v>
      </c>
      <c r="T26" s="23" t="str">
        <f t="shared" si="16"/>
        <v>To Paid</v>
      </c>
      <c r="U26" s="23"/>
      <c r="V26" s="1" t="s">
        <v>67</v>
      </c>
    </row>
    <row r="27" spans="1:22" x14ac:dyDescent="0.3">
      <c r="A27" s="6">
        <v>26</v>
      </c>
      <c r="B27" s="1" t="s">
        <v>62</v>
      </c>
      <c r="C27" s="1" t="s">
        <v>90</v>
      </c>
      <c r="D27" s="1" t="s">
        <v>92</v>
      </c>
      <c r="E27" s="1">
        <v>1510002626</v>
      </c>
      <c r="F27" s="8" t="s">
        <v>9</v>
      </c>
      <c r="G27" s="1" t="s">
        <v>65</v>
      </c>
      <c r="H27" s="1" t="s">
        <v>66</v>
      </c>
      <c r="I27" s="11">
        <v>46108</v>
      </c>
      <c r="J27" s="11">
        <v>46147</v>
      </c>
      <c r="K27" s="11">
        <v>46149</v>
      </c>
      <c r="L27" s="11">
        <v>46151</v>
      </c>
      <c r="M27" s="1" t="s">
        <v>32</v>
      </c>
      <c r="N27" s="6">
        <v>20</v>
      </c>
      <c r="O27" s="6">
        <v>15</v>
      </c>
      <c r="P27" s="12">
        <f t="shared" si="12"/>
        <v>46127</v>
      </c>
      <c r="Q27" s="11">
        <f t="shared" si="13"/>
        <v>46161</v>
      </c>
      <c r="R27" s="24">
        <f t="shared" si="14"/>
        <v>20</v>
      </c>
      <c r="S27" s="25">
        <f t="shared" si="15"/>
        <v>-10</v>
      </c>
      <c r="T27" s="23" t="str">
        <f t="shared" si="16"/>
        <v>To Paid</v>
      </c>
      <c r="U27" s="23"/>
      <c r="V27" s="1" t="s">
        <v>67</v>
      </c>
    </row>
    <row r="28" spans="1:22" x14ac:dyDescent="0.3">
      <c r="A28" s="6">
        <v>27</v>
      </c>
      <c r="B28" s="1" t="s">
        <v>62</v>
      </c>
      <c r="C28" s="1" t="s">
        <v>90</v>
      </c>
      <c r="D28" s="1" t="s">
        <v>93</v>
      </c>
      <c r="E28" s="1">
        <v>1510002626</v>
      </c>
      <c r="F28" s="8" t="s">
        <v>9</v>
      </c>
      <c r="G28" s="1" t="s">
        <v>65</v>
      </c>
      <c r="H28" s="1" t="s">
        <v>66</v>
      </c>
      <c r="I28" s="11">
        <v>46108</v>
      </c>
      <c r="J28" s="11">
        <v>46148</v>
      </c>
      <c r="K28" s="11">
        <v>46153</v>
      </c>
      <c r="L28" s="11">
        <v>46153</v>
      </c>
      <c r="M28" s="1" t="s">
        <v>32</v>
      </c>
      <c r="N28" s="6">
        <v>20</v>
      </c>
      <c r="O28" s="6">
        <v>15</v>
      </c>
      <c r="P28" s="12">
        <f t="shared" si="12"/>
        <v>46127</v>
      </c>
      <c r="Q28" s="11">
        <f t="shared" si="13"/>
        <v>46162</v>
      </c>
      <c r="R28" s="24">
        <f t="shared" si="14"/>
        <v>21</v>
      </c>
      <c r="S28" s="25">
        <f t="shared" si="15"/>
        <v>-9</v>
      </c>
      <c r="T28" s="23" t="str">
        <f t="shared" si="16"/>
        <v>To Paid</v>
      </c>
      <c r="U28" s="23"/>
      <c r="V28" s="1" t="s">
        <v>67</v>
      </c>
    </row>
    <row r="29" spans="1:22" x14ac:dyDescent="0.3">
      <c r="A29" s="6">
        <v>28</v>
      </c>
      <c r="B29" s="1" t="s">
        <v>62</v>
      </c>
      <c r="C29" s="1" t="s">
        <v>90</v>
      </c>
      <c r="D29" s="1" t="s">
        <v>94</v>
      </c>
      <c r="E29" s="1">
        <v>1510002626</v>
      </c>
      <c r="F29" s="8" t="s">
        <v>9</v>
      </c>
      <c r="G29" s="1" t="s">
        <v>65</v>
      </c>
      <c r="H29" s="1" t="s">
        <v>66</v>
      </c>
      <c r="I29" s="11">
        <v>46108</v>
      </c>
      <c r="J29" s="11">
        <v>46148</v>
      </c>
      <c r="K29" s="11">
        <v>46150</v>
      </c>
      <c r="L29" s="11">
        <v>46151</v>
      </c>
      <c r="M29" s="1" t="s">
        <v>32</v>
      </c>
      <c r="N29" s="6">
        <v>20</v>
      </c>
      <c r="O29" s="6">
        <v>15</v>
      </c>
      <c r="P29" s="12">
        <f t="shared" si="12"/>
        <v>46127</v>
      </c>
      <c r="Q29" s="11">
        <f t="shared" si="13"/>
        <v>46162</v>
      </c>
      <c r="R29" s="24">
        <f t="shared" si="14"/>
        <v>21</v>
      </c>
      <c r="S29" s="25">
        <f t="shared" si="15"/>
        <v>-11</v>
      </c>
      <c r="T29" s="23" t="str">
        <f t="shared" si="16"/>
        <v>To Paid</v>
      </c>
      <c r="U29" s="23"/>
      <c r="V29" s="1" t="s">
        <v>67</v>
      </c>
    </row>
    <row r="30" spans="1:22" x14ac:dyDescent="0.3">
      <c r="A30" s="6">
        <v>29</v>
      </c>
      <c r="B30" s="1" t="s">
        <v>62</v>
      </c>
      <c r="C30" s="1" t="s">
        <v>95</v>
      </c>
      <c r="D30" s="1" t="s">
        <v>96</v>
      </c>
      <c r="E30" s="1">
        <v>1510002629</v>
      </c>
      <c r="F30" s="8" t="s">
        <v>9</v>
      </c>
      <c r="G30" s="1" t="s">
        <v>65</v>
      </c>
      <c r="H30" s="1" t="s">
        <v>66</v>
      </c>
      <c r="I30" s="11">
        <v>46130</v>
      </c>
      <c r="J30" s="11">
        <v>46151</v>
      </c>
      <c r="K30" s="11">
        <v>46155</v>
      </c>
      <c r="L30" s="11">
        <v>46156</v>
      </c>
      <c r="M30" s="1" t="s">
        <v>32</v>
      </c>
      <c r="N30" s="6">
        <v>20</v>
      </c>
      <c r="O30" s="6">
        <v>15</v>
      </c>
      <c r="P30" s="12">
        <f t="shared" si="12"/>
        <v>46149</v>
      </c>
      <c r="Q30" s="11">
        <f t="shared" si="13"/>
        <v>46165</v>
      </c>
      <c r="R30" s="24">
        <f t="shared" si="14"/>
        <v>2</v>
      </c>
      <c r="S30" s="25">
        <f t="shared" si="15"/>
        <v>-9</v>
      </c>
      <c r="T30" s="23" t="str">
        <f t="shared" si="16"/>
        <v>To Paid</v>
      </c>
      <c r="U30" s="23"/>
      <c r="V30" s="1" t="s">
        <v>67</v>
      </c>
    </row>
    <row r="31" spans="1:22" x14ac:dyDescent="0.3">
      <c r="A31" s="6">
        <v>30</v>
      </c>
      <c r="B31" s="1" t="s">
        <v>62</v>
      </c>
      <c r="C31" s="1" t="s">
        <v>95</v>
      </c>
      <c r="D31" s="1" t="s">
        <v>97</v>
      </c>
      <c r="E31" s="1">
        <v>1510002629</v>
      </c>
      <c r="F31" s="8" t="s">
        <v>9</v>
      </c>
      <c r="G31" s="1" t="s">
        <v>65</v>
      </c>
      <c r="H31" s="1" t="s">
        <v>66</v>
      </c>
      <c r="I31" s="11">
        <v>46130</v>
      </c>
      <c r="J31" s="11">
        <v>46151</v>
      </c>
      <c r="K31" s="11">
        <v>46159</v>
      </c>
      <c r="L31" s="11">
        <v>46159</v>
      </c>
      <c r="M31" s="1" t="s">
        <v>32</v>
      </c>
      <c r="N31" s="6">
        <v>20</v>
      </c>
      <c r="O31" s="6">
        <v>15</v>
      </c>
      <c r="P31" s="12">
        <f t="shared" si="12"/>
        <v>46149</v>
      </c>
      <c r="Q31" s="11">
        <f t="shared" si="13"/>
        <v>46165</v>
      </c>
      <c r="R31" s="24">
        <f t="shared" si="14"/>
        <v>2</v>
      </c>
      <c r="S31" s="25">
        <f t="shared" si="15"/>
        <v>-6</v>
      </c>
      <c r="T31" s="23" t="str">
        <f t="shared" si="16"/>
        <v>To Paid</v>
      </c>
      <c r="U31" s="23"/>
      <c r="V31" s="1" t="s">
        <v>67</v>
      </c>
    </row>
    <row r="32" spans="1:22" x14ac:dyDescent="0.3">
      <c r="A32" s="6">
        <v>31</v>
      </c>
      <c r="B32" s="1" t="s">
        <v>62</v>
      </c>
      <c r="C32" s="1" t="s">
        <v>95</v>
      </c>
      <c r="D32" s="1" t="s">
        <v>98</v>
      </c>
      <c r="E32" s="1">
        <v>1510002629</v>
      </c>
      <c r="F32" s="8" t="s">
        <v>9</v>
      </c>
      <c r="G32" s="1" t="s">
        <v>65</v>
      </c>
      <c r="H32" s="1" t="s">
        <v>66</v>
      </c>
      <c r="I32" s="11">
        <v>46130</v>
      </c>
      <c r="J32" s="11">
        <v>46152</v>
      </c>
      <c r="K32" s="11">
        <v>46156</v>
      </c>
      <c r="L32" s="11">
        <v>46156</v>
      </c>
      <c r="M32" s="1" t="s">
        <v>32</v>
      </c>
      <c r="N32" s="6">
        <v>20</v>
      </c>
      <c r="O32" s="6">
        <v>15</v>
      </c>
      <c r="P32" s="12">
        <f t="shared" si="12"/>
        <v>46149</v>
      </c>
      <c r="Q32" s="11">
        <f t="shared" si="13"/>
        <v>46166</v>
      </c>
      <c r="R32" s="24">
        <f t="shared" si="14"/>
        <v>3</v>
      </c>
      <c r="S32" s="25">
        <f t="shared" si="15"/>
        <v>-10</v>
      </c>
      <c r="T32" s="23" t="str">
        <f t="shared" si="16"/>
        <v>To Paid</v>
      </c>
      <c r="U32" s="23"/>
      <c r="V32" s="1" t="s">
        <v>67</v>
      </c>
    </row>
    <row r="33" spans="1:22" x14ac:dyDescent="0.3">
      <c r="A33" s="6">
        <v>32</v>
      </c>
      <c r="B33" s="1" t="s">
        <v>62</v>
      </c>
      <c r="C33" s="1" t="s">
        <v>95</v>
      </c>
      <c r="D33" s="1" t="s">
        <v>99</v>
      </c>
      <c r="E33" s="1">
        <v>1510002629</v>
      </c>
      <c r="F33" s="8" t="s">
        <v>9</v>
      </c>
      <c r="G33" s="1" t="s">
        <v>65</v>
      </c>
      <c r="H33" s="1" t="s">
        <v>66</v>
      </c>
      <c r="I33" s="11">
        <v>46130</v>
      </c>
      <c r="J33" s="11">
        <v>46148</v>
      </c>
      <c r="K33" s="11">
        <v>46154</v>
      </c>
      <c r="L33" s="11">
        <v>46155</v>
      </c>
      <c r="M33" s="1" t="s">
        <v>32</v>
      </c>
      <c r="N33" s="6">
        <v>20</v>
      </c>
      <c r="O33" s="6">
        <v>15</v>
      </c>
      <c r="P33" s="12">
        <f t="shared" si="12"/>
        <v>46149</v>
      </c>
      <c r="Q33" s="11">
        <f t="shared" si="13"/>
        <v>46162</v>
      </c>
      <c r="R33" s="24">
        <f t="shared" si="14"/>
        <v>-1</v>
      </c>
      <c r="S33" s="25">
        <f t="shared" si="15"/>
        <v>-7</v>
      </c>
      <c r="T33" s="23" t="str">
        <f t="shared" si="16"/>
        <v>No</v>
      </c>
      <c r="U33" s="23"/>
      <c r="V33" s="1" t="s">
        <v>67</v>
      </c>
    </row>
    <row r="34" spans="1:22" x14ac:dyDescent="0.3">
      <c r="A34" s="6">
        <v>33</v>
      </c>
      <c r="B34" s="1" t="s">
        <v>62</v>
      </c>
      <c r="C34" s="1" t="s">
        <v>100</v>
      </c>
      <c r="D34" s="1" t="s">
        <v>101</v>
      </c>
      <c r="E34" s="1">
        <v>1510002630</v>
      </c>
      <c r="F34" s="8" t="s">
        <v>9</v>
      </c>
      <c r="G34" s="1" t="s">
        <v>65</v>
      </c>
      <c r="H34" s="1" t="s">
        <v>66</v>
      </c>
      <c r="I34" s="11">
        <v>46141</v>
      </c>
      <c r="J34" s="11">
        <v>46153</v>
      </c>
      <c r="K34" s="11">
        <v>46160</v>
      </c>
      <c r="L34" s="11">
        <v>46160</v>
      </c>
      <c r="M34" s="1" t="s">
        <v>32</v>
      </c>
      <c r="N34" s="6">
        <v>20</v>
      </c>
      <c r="O34" s="6">
        <v>15</v>
      </c>
      <c r="P34" s="12">
        <f t="shared" si="12"/>
        <v>46160</v>
      </c>
      <c r="Q34" s="11">
        <f t="shared" si="13"/>
        <v>46167</v>
      </c>
      <c r="R34" s="24">
        <f t="shared" si="14"/>
        <v>-7</v>
      </c>
      <c r="S34" s="25">
        <f t="shared" si="15"/>
        <v>-7</v>
      </c>
      <c r="T34" s="23" t="str">
        <f t="shared" si="16"/>
        <v>No</v>
      </c>
      <c r="U34" s="23"/>
      <c r="V34" s="1" t="s">
        <v>102</v>
      </c>
    </row>
    <row r="35" spans="1:22" x14ac:dyDescent="0.3">
      <c r="A35" s="6">
        <v>34</v>
      </c>
      <c r="B35" s="1" t="s">
        <v>62</v>
      </c>
      <c r="C35" s="1" t="s">
        <v>100</v>
      </c>
      <c r="D35" s="1" t="s">
        <v>103</v>
      </c>
      <c r="E35" s="1">
        <v>1510002630</v>
      </c>
      <c r="F35" s="8" t="s">
        <v>9</v>
      </c>
      <c r="G35" s="1" t="s">
        <v>65</v>
      </c>
      <c r="H35" s="1" t="s">
        <v>66</v>
      </c>
      <c r="I35" s="11">
        <v>46141</v>
      </c>
      <c r="J35" s="11">
        <v>46153</v>
      </c>
      <c r="K35" s="11">
        <v>46156</v>
      </c>
      <c r="L35" s="11">
        <v>46157</v>
      </c>
      <c r="M35" s="1" t="s">
        <v>32</v>
      </c>
      <c r="N35" s="6">
        <v>20</v>
      </c>
      <c r="O35" s="6">
        <v>15</v>
      </c>
      <c r="P35" s="12">
        <f t="shared" si="12"/>
        <v>46160</v>
      </c>
      <c r="Q35" s="11">
        <f t="shared" si="13"/>
        <v>46167</v>
      </c>
      <c r="R35" s="24">
        <f t="shared" si="14"/>
        <v>-7</v>
      </c>
      <c r="S35" s="25">
        <f t="shared" si="15"/>
        <v>-10</v>
      </c>
      <c r="T35" s="23" t="str">
        <f t="shared" si="16"/>
        <v>No</v>
      </c>
      <c r="U35" s="23"/>
      <c r="V35" s="1" t="s">
        <v>104</v>
      </c>
    </row>
    <row r="36" spans="1:22" x14ac:dyDescent="0.3">
      <c r="A36" s="6">
        <v>35</v>
      </c>
      <c r="B36" s="1" t="s">
        <v>62</v>
      </c>
      <c r="C36" s="1" t="s">
        <v>100</v>
      </c>
      <c r="D36" s="1" t="s">
        <v>105</v>
      </c>
      <c r="E36" s="1">
        <v>1510002630</v>
      </c>
      <c r="F36" s="8" t="s">
        <v>9</v>
      </c>
      <c r="G36" s="1" t="s">
        <v>65</v>
      </c>
      <c r="H36" s="1" t="s">
        <v>66</v>
      </c>
      <c r="I36" s="11">
        <v>46141</v>
      </c>
      <c r="J36" s="11">
        <v>46153</v>
      </c>
      <c r="K36" s="11">
        <v>46162</v>
      </c>
      <c r="L36" s="11">
        <v>46162</v>
      </c>
      <c r="M36" s="1" t="s">
        <v>32</v>
      </c>
      <c r="N36" s="6">
        <v>20</v>
      </c>
      <c r="O36" s="6">
        <v>15</v>
      </c>
      <c r="P36" s="12">
        <f t="shared" si="12"/>
        <v>46160</v>
      </c>
      <c r="Q36" s="11">
        <f t="shared" si="13"/>
        <v>46167</v>
      </c>
      <c r="R36" s="24">
        <f t="shared" si="14"/>
        <v>-7</v>
      </c>
      <c r="S36" s="25">
        <f t="shared" si="15"/>
        <v>-5</v>
      </c>
      <c r="T36" s="23" t="str">
        <f t="shared" si="16"/>
        <v>No</v>
      </c>
      <c r="U36" s="23"/>
      <c r="V36" s="1" t="s">
        <v>104</v>
      </c>
    </row>
    <row r="37" spans="1:22" x14ac:dyDescent="0.3">
      <c r="A37" s="6">
        <v>36</v>
      </c>
      <c r="B37" s="1" t="s">
        <v>62</v>
      </c>
      <c r="C37" s="1" t="s">
        <v>100</v>
      </c>
      <c r="D37" s="1" t="s">
        <v>106</v>
      </c>
      <c r="E37" s="1">
        <v>1510002630</v>
      </c>
      <c r="F37" s="8" t="s">
        <v>9</v>
      </c>
      <c r="G37" s="1" t="s">
        <v>65</v>
      </c>
      <c r="H37" s="1" t="s">
        <v>66</v>
      </c>
      <c r="I37" s="11">
        <v>46141</v>
      </c>
      <c r="J37" s="11">
        <v>46157</v>
      </c>
      <c r="K37" s="11">
        <v>46160</v>
      </c>
      <c r="L37" s="11">
        <v>46161</v>
      </c>
      <c r="M37" s="1" t="s">
        <v>32</v>
      </c>
      <c r="N37" s="6">
        <v>20</v>
      </c>
      <c r="O37" s="6">
        <v>15</v>
      </c>
      <c r="P37" s="12">
        <f t="shared" si="12"/>
        <v>46160</v>
      </c>
      <c r="Q37" s="11">
        <f t="shared" si="13"/>
        <v>46171</v>
      </c>
      <c r="R37" s="24">
        <f t="shared" si="14"/>
        <v>-3</v>
      </c>
      <c r="S37" s="25">
        <f t="shared" si="15"/>
        <v>-10</v>
      </c>
      <c r="T37" s="23" t="str">
        <f t="shared" si="16"/>
        <v>No</v>
      </c>
      <c r="U37" s="23"/>
      <c r="V37" s="1" t="s">
        <v>104</v>
      </c>
    </row>
    <row r="38" spans="1:22" x14ac:dyDescent="0.3">
      <c r="A38" s="6">
        <v>37</v>
      </c>
      <c r="B38" s="1" t="s">
        <v>62</v>
      </c>
      <c r="C38" s="1" t="s">
        <v>107</v>
      </c>
      <c r="D38" s="1" t="s">
        <v>108</v>
      </c>
      <c r="E38" s="1">
        <v>1510002631</v>
      </c>
      <c r="F38" s="8" t="s">
        <v>9</v>
      </c>
      <c r="G38" s="1" t="s">
        <v>65</v>
      </c>
      <c r="H38" s="1" t="s">
        <v>66</v>
      </c>
      <c r="I38" s="11">
        <v>46147</v>
      </c>
      <c r="J38" s="11">
        <v>46160</v>
      </c>
      <c r="K38" s="11">
        <v>46163</v>
      </c>
      <c r="L38" s="11">
        <v>46165</v>
      </c>
      <c r="M38" s="1" t="s">
        <v>32</v>
      </c>
      <c r="N38" s="6">
        <v>20</v>
      </c>
      <c r="O38" s="6">
        <v>15</v>
      </c>
      <c r="P38" s="12">
        <f t="shared" si="12"/>
        <v>46166</v>
      </c>
      <c r="Q38" s="11">
        <f t="shared" si="13"/>
        <v>46174</v>
      </c>
      <c r="R38" s="24">
        <f t="shared" si="14"/>
        <v>-6</v>
      </c>
      <c r="S38" s="25">
        <f t="shared" si="15"/>
        <v>-9</v>
      </c>
      <c r="T38" s="23" t="str">
        <f t="shared" si="16"/>
        <v>No</v>
      </c>
      <c r="U38" s="23"/>
      <c r="V38" s="1" t="s">
        <v>109</v>
      </c>
    </row>
    <row r="39" spans="1:22" x14ac:dyDescent="0.3">
      <c r="A39" s="6">
        <v>38</v>
      </c>
      <c r="B39" s="1" t="s">
        <v>62</v>
      </c>
      <c r="C39" s="1" t="s">
        <v>107</v>
      </c>
      <c r="D39" s="1" t="s">
        <v>110</v>
      </c>
      <c r="E39" s="1">
        <v>1510002631</v>
      </c>
      <c r="F39" s="8" t="s">
        <v>9</v>
      </c>
      <c r="G39" s="1" t="s">
        <v>65</v>
      </c>
      <c r="H39" s="1" t="s">
        <v>66</v>
      </c>
      <c r="I39" s="11">
        <v>46147</v>
      </c>
      <c r="J39" s="11">
        <v>46160</v>
      </c>
      <c r="K39" s="11">
        <v>46163</v>
      </c>
      <c r="L39" s="11">
        <v>46165</v>
      </c>
      <c r="M39" s="1" t="s">
        <v>32</v>
      </c>
      <c r="N39" s="6">
        <v>20</v>
      </c>
      <c r="O39" s="6">
        <v>15</v>
      </c>
      <c r="P39" s="12">
        <f t="shared" si="12"/>
        <v>46166</v>
      </c>
      <c r="Q39" s="11">
        <f t="shared" si="13"/>
        <v>46174</v>
      </c>
      <c r="R39" s="24">
        <f t="shared" si="14"/>
        <v>-6</v>
      </c>
      <c r="S39" s="25">
        <f t="shared" si="15"/>
        <v>-9</v>
      </c>
      <c r="T39" s="23" t="str">
        <f t="shared" si="16"/>
        <v>No</v>
      </c>
      <c r="U39" s="23"/>
      <c r="V39" s="1" t="s">
        <v>109</v>
      </c>
    </row>
    <row r="40" spans="1:22" x14ac:dyDescent="0.3">
      <c r="A40" s="6">
        <v>39</v>
      </c>
      <c r="B40" s="1" t="s">
        <v>62</v>
      </c>
      <c r="C40" s="1" t="s">
        <v>107</v>
      </c>
      <c r="D40" s="1" t="s">
        <v>111</v>
      </c>
      <c r="E40" s="1">
        <v>1510002631</v>
      </c>
      <c r="F40" s="8" t="s">
        <v>9</v>
      </c>
      <c r="G40" s="1" t="s">
        <v>65</v>
      </c>
      <c r="H40" s="1" t="s">
        <v>66</v>
      </c>
      <c r="I40" s="11">
        <v>46147</v>
      </c>
      <c r="J40" s="12">
        <v>46158</v>
      </c>
      <c r="K40" s="12">
        <v>46162</v>
      </c>
      <c r="L40" s="12">
        <v>46162</v>
      </c>
      <c r="M40" s="1" t="s">
        <v>32</v>
      </c>
      <c r="N40" s="6">
        <v>20</v>
      </c>
      <c r="O40" s="6">
        <v>15</v>
      </c>
      <c r="P40" s="12">
        <f t="shared" si="12"/>
        <v>46166</v>
      </c>
      <c r="Q40" s="11">
        <f t="shared" si="13"/>
        <v>46172</v>
      </c>
      <c r="R40" s="24">
        <f t="shared" si="14"/>
        <v>-8</v>
      </c>
      <c r="S40" s="25">
        <f t="shared" si="15"/>
        <v>-10</v>
      </c>
      <c r="T40" s="23" t="str">
        <f t="shared" si="16"/>
        <v>No</v>
      </c>
      <c r="U40" s="23"/>
      <c r="V40" s="1" t="s">
        <v>109</v>
      </c>
    </row>
    <row r="41" spans="1:22" x14ac:dyDescent="0.3">
      <c r="A41" s="6">
        <v>40</v>
      </c>
      <c r="B41" s="1" t="s">
        <v>62</v>
      </c>
      <c r="C41" s="1" t="s">
        <v>107</v>
      </c>
      <c r="D41" s="1" t="s">
        <v>112</v>
      </c>
      <c r="E41" s="1">
        <v>1510002631</v>
      </c>
      <c r="F41" s="8" t="s">
        <v>9</v>
      </c>
      <c r="G41" s="1" t="s">
        <v>65</v>
      </c>
      <c r="H41" s="1" t="s">
        <v>66</v>
      </c>
      <c r="I41" s="11">
        <v>46147</v>
      </c>
      <c r="J41" s="11">
        <v>46158</v>
      </c>
      <c r="K41" s="11">
        <v>46163</v>
      </c>
      <c r="L41" s="11">
        <v>46166</v>
      </c>
      <c r="M41" s="1" t="s">
        <v>32</v>
      </c>
      <c r="N41" s="6">
        <v>20</v>
      </c>
      <c r="O41" s="6">
        <v>15</v>
      </c>
      <c r="P41" s="12">
        <f t="shared" si="12"/>
        <v>46166</v>
      </c>
      <c r="Q41" s="11">
        <f t="shared" si="13"/>
        <v>46172</v>
      </c>
      <c r="R41" s="24">
        <f t="shared" si="14"/>
        <v>-8</v>
      </c>
      <c r="S41" s="25">
        <f t="shared" si="15"/>
        <v>-6</v>
      </c>
      <c r="T41" s="23" t="str">
        <f t="shared" si="16"/>
        <v>No</v>
      </c>
      <c r="U41" s="23"/>
      <c r="V41" s="1" t="s">
        <v>109</v>
      </c>
    </row>
    <row r="42" spans="1:22" x14ac:dyDescent="0.3">
      <c r="A42" s="6">
        <v>41</v>
      </c>
      <c r="B42" s="1" t="s">
        <v>45</v>
      </c>
      <c r="C42" s="1" t="s">
        <v>113</v>
      </c>
      <c r="D42" s="1" t="s">
        <v>114</v>
      </c>
      <c r="E42" s="1">
        <v>1510002339</v>
      </c>
      <c r="F42" s="8" t="s">
        <v>9</v>
      </c>
      <c r="G42" s="1" t="s">
        <v>115</v>
      </c>
      <c r="H42" s="1" t="s">
        <v>25</v>
      </c>
      <c r="I42" s="11">
        <v>46150</v>
      </c>
      <c r="J42" s="11">
        <v>46141</v>
      </c>
      <c r="K42" s="11">
        <v>46142</v>
      </c>
      <c r="L42" s="11">
        <v>46142</v>
      </c>
      <c r="M42" s="1" t="s">
        <v>32</v>
      </c>
      <c r="N42" s="6">
        <v>20</v>
      </c>
      <c r="O42" s="6">
        <v>15</v>
      </c>
      <c r="P42" s="12">
        <f t="shared" si="12"/>
        <v>46169</v>
      </c>
      <c r="Q42" s="11">
        <f t="shared" si="13"/>
        <v>46155</v>
      </c>
      <c r="R42" s="24">
        <f t="shared" si="14"/>
        <v>-28</v>
      </c>
      <c r="S42" s="25">
        <f t="shared" si="15"/>
        <v>-13</v>
      </c>
      <c r="T42" s="23" t="str">
        <f t="shared" si="16"/>
        <v>No</v>
      </c>
      <c r="U42" s="23"/>
      <c r="V42" s="1" t="s">
        <v>116</v>
      </c>
    </row>
    <row r="43" spans="1:22" x14ac:dyDescent="0.3">
      <c r="A43" s="6">
        <v>42</v>
      </c>
      <c r="B43" s="1" t="s">
        <v>45</v>
      </c>
      <c r="C43" s="1" t="s">
        <v>113</v>
      </c>
      <c r="D43" s="1" t="s">
        <v>114</v>
      </c>
      <c r="E43" s="1">
        <v>1510002339</v>
      </c>
      <c r="F43" s="8" t="s">
        <v>9</v>
      </c>
      <c r="G43" s="1" t="s">
        <v>117</v>
      </c>
      <c r="H43" s="1" t="s">
        <v>118</v>
      </c>
      <c r="I43" s="11">
        <v>46150</v>
      </c>
      <c r="J43" s="11">
        <v>46141</v>
      </c>
      <c r="K43" s="11">
        <v>46142</v>
      </c>
      <c r="L43" s="11">
        <v>46142</v>
      </c>
      <c r="M43" s="1" t="s">
        <v>32</v>
      </c>
      <c r="N43" s="6">
        <v>20</v>
      </c>
      <c r="O43" s="6">
        <v>15</v>
      </c>
      <c r="P43" s="12">
        <f t="shared" si="12"/>
        <v>46169</v>
      </c>
      <c r="Q43" s="11">
        <f t="shared" si="13"/>
        <v>46155</v>
      </c>
      <c r="R43" s="24">
        <f t="shared" si="14"/>
        <v>-28</v>
      </c>
      <c r="S43" s="25">
        <f t="shared" si="15"/>
        <v>-13</v>
      </c>
      <c r="T43" s="23" t="str">
        <f t="shared" si="16"/>
        <v>No</v>
      </c>
      <c r="U43" s="23"/>
      <c r="V43" s="1" t="s">
        <v>116</v>
      </c>
    </row>
    <row r="44" spans="1:22" x14ac:dyDescent="0.3">
      <c r="A44" s="6">
        <v>43</v>
      </c>
      <c r="B44" s="1" t="s">
        <v>21</v>
      </c>
      <c r="C44" s="1" t="s">
        <v>119</v>
      </c>
      <c r="D44" s="1" t="s">
        <v>120</v>
      </c>
      <c r="E44" s="1">
        <v>9700017861</v>
      </c>
      <c r="F44" s="8" t="s">
        <v>9</v>
      </c>
      <c r="G44" s="1" t="s">
        <v>24</v>
      </c>
      <c r="H44" s="1" t="s">
        <v>25</v>
      </c>
      <c r="I44" s="11">
        <v>46126</v>
      </c>
      <c r="J44" s="11">
        <v>46167</v>
      </c>
      <c r="K44" s="11">
        <v>46172</v>
      </c>
      <c r="L44" s="11">
        <v>46172</v>
      </c>
      <c r="M44" s="1" t="s">
        <v>26</v>
      </c>
      <c r="N44" s="6">
        <v>10</v>
      </c>
      <c r="O44" s="6">
        <v>10</v>
      </c>
      <c r="P44" s="11"/>
      <c r="Q44" s="11"/>
      <c r="R44" s="24"/>
      <c r="S44" s="25"/>
      <c r="T44" s="23"/>
      <c r="U44" s="23"/>
      <c r="V44" s="1"/>
    </row>
    <row r="45" spans="1:22" x14ac:dyDescent="0.3">
      <c r="A45" s="6">
        <v>44</v>
      </c>
      <c r="B45" s="1" t="s">
        <v>21</v>
      </c>
      <c r="C45" s="1" t="s">
        <v>119</v>
      </c>
      <c r="D45" s="1" t="s">
        <v>121</v>
      </c>
      <c r="E45" s="1">
        <v>9700017861</v>
      </c>
      <c r="F45" s="8" t="s">
        <v>9</v>
      </c>
      <c r="G45" s="1" t="s">
        <v>24</v>
      </c>
      <c r="H45" s="1" t="s">
        <v>25</v>
      </c>
      <c r="I45" s="11">
        <v>46126</v>
      </c>
      <c r="J45" s="11">
        <v>46142</v>
      </c>
      <c r="K45" s="11">
        <v>46148</v>
      </c>
      <c r="L45" s="11">
        <v>46149</v>
      </c>
      <c r="M45" s="1" t="s">
        <v>26</v>
      </c>
      <c r="N45" s="6">
        <v>10</v>
      </c>
      <c r="O45" s="6">
        <v>10</v>
      </c>
      <c r="P45" s="11"/>
      <c r="Q45" s="11"/>
      <c r="R45" s="24"/>
      <c r="S45" s="25"/>
      <c r="T45" s="23"/>
      <c r="U45" s="23"/>
      <c r="V45" s="1"/>
    </row>
    <row r="46" spans="1:22" x14ac:dyDescent="0.3">
      <c r="A46" s="6">
        <v>45</v>
      </c>
      <c r="B46" s="1" t="s">
        <v>21</v>
      </c>
      <c r="C46" s="1" t="s">
        <v>119</v>
      </c>
      <c r="D46" s="1" t="s">
        <v>122</v>
      </c>
      <c r="E46" s="1">
        <v>9700017861</v>
      </c>
      <c r="F46" s="8" t="s">
        <v>9</v>
      </c>
      <c r="G46" s="1" t="s">
        <v>24</v>
      </c>
      <c r="H46" s="1" t="s">
        <v>25</v>
      </c>
      <c r="I46" s="11">
        <v>46126</v>
      </c>
      <c r="J46" s="11">
        <v>46144</v>
      </c>
      <c r="K46" s="11">
        <v>46147</v>
      </c>
      <c r="L46" s="11">
        <v>46147</v>
      </c>
      <c r="M46" s="1" t="s">
        <v>26</v>
      </c>
      <c r="N46" s="6">
        <v>10</v>
      </c>
      <c r="O46" s="6">
        <v>10</v>
      </c>
      <c r="P46" s="11"/>
      <c r="Q46" s="11"/>
      <c r="R46" s="24"/>
      <c r="S46" s="25"/>
      <c r="T46" s="23"/>
      <c r="U46" s="23"/>
      <c r="V46" s="1"/>
    </row>
    <row r="47" spans="1:22" x14ac:dyDescent="0.3">
      <c r="A47" s="6">
        <v>46</v>
      </c>
      <c r="B47" s="1" t="s">
        <v>21</v>
      </c>
      <c r="C47" s="1" t="s">
        <v>119</v>
      </c>
      <c r="D47" s="1" t="s">
        <v>123</v>
      </c>
      <c r="E47" s="1">
        <v>9700017861</v>
      </c>
      <c r="F47" s="8" t="s">
        <v>9</v>
      </c>
      <c r="G47" s="1" t="s">
        <v>24</v>
      </c>
      <c r="H47" s="1" t="s">
        <v>25</v>
      </c>
      <c r="I47" s="11">
        <v>46126</v>
      </c>
      <c r="J47" s="11">
        <v>46144</v>
      </c>
      <c r="K47" s="11">
        <v>46149</v>
      </c>
      <c r="L47" s="11">
        <v>46149</v>
      </c>
      <c r="M47" s="1" t="s">
        <v>26</v>
      </c>
      <c r="N47" s="6">
        <v>10</v>
      </c>
      <c r="O47" s="6">
        <v>10</v>
      </c>
      <c r="P47" s="11"/>
      <c r="Q47" s="11"/>
      <c r="R47" s="24"/>
      <c r="S47" s="25"/>
      <c r="T47" s="23"/>
      <c r="U47" s="23"/>
      <c r="V47" s="1"/>
    </row>
    <row r="48" spans="1:22" x14ac:dyDescent="0.3">
      <c r="A48" s="6">
        <v>47</v>
      </c>
      <c r="B48" s="1" t="s">
        <v>21</v>
      </c>
      <c r="C48" s="1" t="s">
        <v>119</v>
      </c>
      <c r="D48" s="1" t="s">
        <v>124</v>
      </c>
      <c r="E48" s="1">
        <v>9700017861</v>
      </c>
      <c r="F48" s="8" t="s">
        <v>9</v>
      </c>
      <c r="G48" s="1" t="s">
        <v>24</v>
      </c>
      <c r="H48" s="1" t="s">
        <v>25</v>
      </c>
      <c r="I48" s="11">
        <v>46126</v>
      </c>
      <c r="J48" s="11">
        <v>46147</v>
      </c>
      <c r="K48" s="11">
        <v>46150</v>
      </c>
      <c r="L48" s="11">
        <v>46151</v>
      </c>
      <c r="M48" s="1" t="s">
        <v>26</v>
      </c>
      <c r="N48" s="6">
        <v>10</v>
      </c>
      <c r="O48" s="6">
        <v>10</v>
      </c>
      <c r="P48" s="12">
        <f t="shared" ref="P48:P55" si="17">I48+N48-1</f>
        <v>46135</v>
      </c>
      <c r="Q48" s="11">
        <f t="shared" ref="Q48:Q55" si="18">J48+O48-1</f>
        <v>46156</v>
      </c>
      <c r="R48" s="24">
        <f t="shared" ref="R48:R55" si="19">J48-P48</f>
        <v>12</v>
      </c>
      <c r="S48" s="25">
        <f t="shared" ref="S48:S55" si="20">L48-Q48</f>
        <v>-5</v>
      </c>
      <c r="T48" s="23" t="str">
        <f t="shared" ref="T48:T55" si="21">IF(R48&gt;0,"To Paid","No")</f>
        <v>To Paid</v>
      </c>
      <c r="U48" s="23"/>
      <c r="V48" s="1"/>
    </row>
    <row r="49" spans="1:22" x14ac:dyDescent="0.3">
      <c r="A49" s="6">
        <v>48</v>
      </c>
      <c r="B49" s="1" t="s">
        <v>21</v>
      </c>
      <c r="C49" s="1" t="s">
        <v>119</v>
      </c>
      <c r="D49" s="1" t="s">
        <v>125</v>
      </c>
      <c r="E49" s="1">
        <v>9700017861</v>
      </c>
      <c r="F49" s="8" t="s">
        <v>9</v>
      </c>
      <c r="G49" s="1" t="s">
        <v>24</v>
      </c>
      <c r="H49" s="1" t="s">
        <v>25</v>
      </c>
      <c r="I49" s="11">
        <v>46126</v>
      </c>
      <c r="J49" s="11">
        <v>46144</v>
      </c>
      <c r="K49" s="11">
        <v>46150</v>
      </c>
      <c r="L49" s="11">
        <v>46147</v>
      </c>
      <c r="M49" s="1" t="s">
        <v>26</v>
      </c>
      <c r="N49" s="6">
        <v>10</v>
      </c>
      <c r="O49" s="6">
        <v>10</v>
      </c>
      <c r="P49" s="12">
        <f t="shared" si="17"/>
        <v>46135</v>
      </c>
      <c r="Q49" s="11">
        <f t="shared" si="18"/>
        <v>46153</v>
      </c>
      <c r="R49" s="24">
        <f t="shared" si="19"/>
        <v>9</v>
      </c>
      <c r="S49" s="25">
        <f t="shared" si="20"/>
        <v>-6</v>
      </c>
      <c r="T49" s="23" t="str">
        <f t="shared" si="21"/>
        <v>To Paid</v>
      </c>
      <c r="U49" s="23"/>
      <c r="V49" s="1"/>
    </row>
    <row r="50" spans="1:22" x14ac:dyDescent="0.3">
      <c r="A50" s="6">
        <v>49</v>
      </c>
      <c r="B50" s="1" t="s">
        <v>21</v>
      </c>
      <c r="C50" s="1" t="s">
        <v>119</v>
      </c>
      <c r="D50" s="1" t="s">
        <v>126</v>
      </c>
      <c r="E50" s="1">
        <v>9700017861</v>
      </c>
      <c r="F50" s="8" t="s">
        <v>9</v>
      </c>
      <c r="G50" s="1" t="s">
        <v>24</v>
      </c>
      <c r="H50" s="1" t="s">
        <v>25</v>
      </c>
      <c r="I50" s="11">
        <v>46126</v>
      </c>
      <c r="J50" s="11">
        <v>46147</v>
      </c>
      <c r="K50" s="11">
        <v>46149</v>
      </c>
      <c r="L50" s="11">
        <v>46150</v>
      </c>
      <c r="M50" s="1" t="s">
        <v>26</v>
      </c>
      <c r="N50" s="6">
        <v>10</v>
      </c>
      <c r="O50" s="6">
        <v>10</v>
      </c>
      <c r="P50" s="12">
        <f t="shared" si="17"/>
        <v>46135</v>
      </c>
      <c r="Q50" s="11">
        <f t="shared" si="18"/>
        <v>46156</v>
      </c>
      <c r="R50" s="24">
        <f t="shared" si="19"/>
        <v>12</v>
      </c>
      <c r="S50" s="25">
        <f t="shared" si="20"/>
        <v>-6</v>
      </c>
      <c r="T50" s="23" t="str">
        <f t="shared" si="21"/>
        <v>To Paid</v>
      </c>
      <c r="U50" s="23"/>
      <c r="V50" s="1"/>
    </row>
    <row r="51" spans="1:22" x14ac:dyDescent="0.3">
      <c r="A51" s="6">
        <v>50</v>
      </c>
      <c r="B51" s="1" t="s">
        <v>21</v>
      </c>
      <c r="C51" s="1" t="s">
        <v>119</v>
      </c>
      <c r="D51" s="1" t="s">
        <v>127</v>
      </c>
      <c r="E51" s="1">
        <v>9700017861</v>
      </c>
      <c r="F51" s="8" t="s">
        <v>9</v>
      </c>
      <c r="G51" s="1" t="s">
        <v>24</v>
      </c>
      <c r="H51" s="1" t="s">
        <v>25</v>
      </c>
      <c r="I51" s="11">
        <v>46126</v>
      </c>
      <c r="J51" s="11">
        <v>46147</v>
      </c>
      <c r="K51" s="11">
        <v>46150</v>
      </c>
      <c r="L51" s="11">
        <v>46151</v>
      </c>
      <c r="M51" s="1" t="s">
        <v>26</v>
      </c>
      <c r="N51" s="6">
        <v>10</v>
      </c>
      <c r="O51" s="6">
        <v>10</v>
      </c>
      <c r="P51" s="12">
        <f t="shared" si="17"/>
        <v>46135</v>
      </c>
      <c r="Q51" s="11">
        <f t="shared" si="18"/>
        <v>46156</v>
      </c>
      <c r="R51" s="24">
        <f t="shared" si="19"/>
        <v>12</v>
      </c>
      <c r="S51" s="25">
        <f t="shared" si="20"/>
        <v>-5</v>
      </c>
      <c r="T51" s="23" t="str">
        <f t="shared" si="21"/>
        <v>To Paid</v>
      </c>
      <c r="U51" s="23"/>
      <c r="V51" s="1"/>
    </row>
    <row r="52" spans="1:22" x14ac:dyDescent="0.3">
      <c r="A52" s="6">
        <v>51</v>
      </c>
      <c r="B52" s="1" t="s">
        <v>21</v>
      </c>
      <c r="C52" s="1" t="s">
        <v>119</v>
      </c>
      <c r="D52" s="1" t="s">
        <v>128</v>
      </c>
      <c r="E52" s="1">
        <v>9700017861</v>
      </c>
      <c r="F52" s="8" t="s">
        <v>9</v>
      </c>
      <c r="G52" s="1" t="s">
        <v>24</v>
      </c>
      <c r="H52" s="1" t="s">
        <v>25</v>
      </c>
      <c r="I52" s="11">
        <v>46126</v>
      </c>
      <c r="J52" s="11">
        <v>46149</v>
      </c>
      <c r="K52" s="11">
        <v>46155</v>
      </c>
      <c r="L52" s="11">
        <v>46155</v>
      </c>
      <c r="M52" s="1" t="s">
        <v>26</v>
      </c>
      <c r="N52" s="6">
        <v>10</v>
      </c>
      <c r="O52" s="6">
        <v>10</v>
      </c>
      <c r="P52" s="12">
        <f t="shared" si="17"/>
        <v>46135</v>
      </c>
      <c r="Q52" s="11">
        <f t="shared" si="18"/>
        <v>46158</v>
      </c>
      <c r="R52" s="24">
        <f t="shared" si="19"/>
        <v>14</v>
      </c>
      <c r="S52" s="25">
        <f t="shared" si="20"/>
        <v>-3</v>
      </c>
      <c r="T52" s="23" t="str">
        <f t="shared" si="21"/>
        <v>To Paid</v>
      </c>
      <c r="U52" s="23"/>
      <c r="V52" s="1"/>
    </row>
    <row r="53" spans="1:22" x14ac:dyDescent="0.3">
      <c r="A53" s="6">
        <v>52</v>
      </c>
      <c r="B53" s="1" t="s">
        <v>28</v>
      </c>
      <c r="C53" s="1" t="s">
        <v>129</v>
      </c>
      <c r="D53" s="1" t="s">
        <v>130</v>
      </c>
      <c r="E53" s="1">
        <v>1510002823</v>
      </c>
      <c r="F53" s="8" t="s">
        <v>9</v>
      </c>
      <c r="G53" s="1" t="s">
        <v>131</v>
      </c>
      <c r="H53" s="1" t="s">
        <v>132</v>
      </c>
      <c r="I53" s="12">
        <v>46144</v>
      </c>
      <c r="J53" s="12">
        <v>46151</v>
      </c>
      <c r="K53" s="12">
        <v>46153</v>
      </c>
      <c r="L53" s="12">
        <v>46156</v>
      </c>
      <c r="M53" s="1" t="s">
        <v>32</v>
      </c>
      <c r="N53" s="6"/>
      <c r="O53" s="6"/>
      <c r="P53" s="12">
        <f t="shared" si="17"/>
        <v>46143</v>
      </c>
      <c r="Q53" s="11">
        <f t="shared" si="18"/>
        <v>46150</v>
      </c>
      <c r="R53" s="24">
        <f t="shared" si="19"/>
        <v>8</v>
      </c>
      <c r="S53" s="25">
        <f t="shared" si="20"/>
        <v>6</v>
      </c>
      <c r="T53" s="23" t="str">
        <f t="shared" si="21"/>
        <v>To Paid</v>
      </c>
      <c r="U53" s="23"/>
      <c r="V53" s="1"/>
    </row>
    <row r="54" spans="1:22" x14ac:dyDescent="0.3">
      <c r="A54" s="6">
        <v>53</v>
      </c>
      <c r="B54" s="1" t="s">
        <v>21</v>
      </c>
      <c r="C54" s="1" t="s">
        <v>119</v>
      </c>
      <c r="D54" s="1" t="s">
        <v>133</v>
      </c>
      <c r="E54" s="1">
        <v>9700017861</v>
      </c>
      <c r="F54" s="8" t="s">
        <v>9</v>
      </c>
      <c r="G54" s="1" t="s">
        <v>24</v>
      </c>
      <c r="H54" s="1" t="s">
        <v>25</v>
      </c>
      <c r="I54" s="11">
        <v>46126</v>
      </c>
      <c r="J54" s="11">
        <v>46144</v>
      </c>
      <c r="K54" s="11">
        <v>46148</v>
      </c>
      <c r="L54" s="11">
        <v>46151</v>
      </c>
      <c r="M54" s="1" t="s">
        <v>26</v>
      </c>
      <c r="N54" s="6">
        <v>10</v>
      </c>
      <c r="O54" s="6">
        <v>10</v>
      </c>
      <c r="P54" s="12">
        <f t="shared" si="17"/>
        <v>46135</v>
      </c>
      <c r="Q54" s="11">
        <f t="shared" si="18"/>
        <v>46153</v>
      </c>
      <c r="R54" s="24">
        <f t="shared" si="19"/>
        <v>9</v>
      </c>
      <c r="S54" s="25">
        <f t="shared" si="20"/>
        <v>-2</v>
      </c>
      <c r="T54" s="23" t="str">
        <f t="shared" si="21"/>
        <v>To Paid</v>
      </c>
      <c r="U54" s="23"/>
      <c r="V54" s="1"/>
    </row>
    <row r="55" spans="1:22" x14ac:dyDescent="0.3">
      <c r="A55" s="6">
        <v>54</v>
      </c>
      <c r="B55" s="1" t="s">
        <v>28</v>
      </c>
      <c r="C55" s="1" t="s">
        <v>134</v>
      </c>
      <c r="D55" s="1" t="s">
        <v>135</v>
      </c>
      <c r="E55" s="1">
        <v>1510002776</v>
      </c>
      <c r="F55" s="8" t="s">
        <v>9</v>
      </c>
      <c r="G55" s="1" t="s">
        <v>136</v>
      </c>
      <c r="H55" s="1" t="s">
        <v>132</v>
      </c>
      <c r="I55" s="11">
        <v>46161</v>
      </c>
      <c r="J55" s="11">
        <v>46165</v>
      </c>
      <c r="K55" s="11">
        <v>46172</v>
      </c>
      <c r="L55" s="11">
        <v>46172</v>
      </c>
      <c r="M55" s="1" t="s">
        <v>32</v>
      </c>
      <c r="N55" s="6">
        <v>3</v>
      </c>
      <c r="O55" s="6">
        <v>14</v>
      </c>
      <c r="P55" s="12">
        <f t="shared" si="17"/>
        <v>46163</v>
      </c>
      <c r="Q55" s="11">
        <f t="shared" si="18"/>
        <v>46178</v>
      </c>
      <c r="R55" s="24">
        <f t="shared" si="19"/>
        <v>2</v>
      </c>
      <c r="S55" s="25">
        <f t="shared" si="20"/>
        <v>-6</v>
      </c>
      <c r="T55" s="23" t="str">
        <f t="shared" si="21"/>
        <v>To Paid</v>
      </c>
      <c r="U55" s="23"/>
      <c r="V55" s="1" t="s">
        <v>137</v>
      </c>
    </row>
    <row r="56" spans="1:22" x14ac:dyDescent="0.3">
      <c r="A56" s="6">
        <v>55</v>
      </c>
      <c r="B56" s="1" t="s">
        <v>28</v>
      </c>
      <c r="C56" s="1" t="s">
        <v>138</v>
      </c>
      <c r="D56" s="1" t="s">
        <v>139</v>
      </c>
      <c r="E56" s="1">
        <v>1510002568</v>
      </c>
      <c r="F56" s="8" t="s">
        <v>9</v>
      </c>
      <c r="G56" s="1" t="s">
        <v>140</v>
      </c>
      <c r="H56" s="1" t="s">
        <v>25</v>
      </c>
      <c r="I56" s="12">
        <v>46156</v>
      </c>
      <c r="J56" s="12">
        <v>46164</v>
      </c>
      <c r="K56" s="12">
        <v>46166</v>
      </c>
      <c r="L56" s="12">
        <v>46166</v>
      </c>
      <c r="M56" s="1" t="s">
        <v>32</v>
      </c>
      <c r="N56" s="6">
        <v>9</v>
      </c>
      <c r="O56" s="6">
        <v>6</v>
      </c>
      <c r="P56" s="12">
        <f t="shared" ref="P56:P57" si="22">I56+N56-1</f>
        <v>46164</v>
      </c>
      <c r="Q56" s="11">
        <f t="shared" ref="Q56:Q57" si="23">J56+O56-1</f>
        <v>46169</v>
      </c>
      <c r="R56" s="24">
        <f t="shared" ref="R56:R57" si="24">J56-P56</f>
        <v>0</v>
      </c>
      <c r="S56" s="25">
        <f t="shared" ref="S56:S57" si="25">L56-Q56</f>
        <v>-3</v>
      </c>
      <c r="T56" s="23" t="str">
        <f t="shared" ref="T56:T57" si="26">IF(R56&gt;0,"To Paid","No")</f>
        <v>No</v>
      </c>
      <c r="U56" s="23"/>
      <c r="V56" s="1" t="s">
        <v>141</v>
      </c>
    </row>
    <row r="57" spans="1:22" x14ac:dyDescent="0.3">
      <c r="A57" s="6">
        <v>56</v>
      </c>
      <c r="B57" s="1" t="s">
        <v>28</v>
      </c>
      <c r="C57" s="1" t="s">
        <v>138</v>
      </c>
      <c r="D57" s="1" t="s">
        <v>142</v>
      </c>
      <c r="E57" s="1">
        <v>1510002568</v>
      </c>
      <c r="F57" s="8" t="s">
        <v>9</v>
      </c>
      <c r="G57" s="1" t="s">
        <v>140</v>
      </c>
      <c r="H57" s="1" t="s">
        <v>25</v>
      </c>
      <c r="I57" s="12">
        <v>46156</v>
      </c>
      <c r="J57" s="12">
        <v>46163</v>
      </c>
      <c r="K57" s="12">
        <v>46166</v>
      </c>
      <c r="L57" s="12">
        <v>46167</v>
      </c>
      <c r="M57" s="1" t="s">
        <v>32</v>
      </c>
      <c r="N57" s="6">
        <v>8</v>
      </c>
      <c r="O57" s="6">
        <v>7</v>
      </c>
      <c r="P57" s="12">
        <f t="shared" si="22"/>
        <v>46163</v>
      </c>
      <c r="Q57" s="11">
        <f t="shared" si="23"/>
        <v>46169</v>
      </c>
      <c r="R57" s="24">
        <f t="shared" si="24"/>
        <v>0</v>
      </c>
      <c r="S57" s="25">
        <f t="shared" si="25"/>
        <v>-2</v>
      </c>
      <c r="T57" s="23" t="str">
        <f t="shared" si="26"/>
        <v>No</v>
      </c>
      <c r="U57" s="23"/>
      <c r="V57" s="1" t="s">
        <v>141</v>
      </c>
    </row>
    <row r="58" spans="1:22" x14ac:dyDescent="0.3">
      <c r="A58" s="6">
        <v>57</v>
      </c>
      <c r="B58" s="1" t="s">
        <v>143</v>
      </c>
      <c r="C58" s="1" t="s">
        <v>144</v>
      </c>
      <c r="D58" s="1" t="s">
        <v>145</v>
      </c>
      <c r="E58" s="1">
        <v>1510002829</v>
      </c>
      <c r="F58" s="8" t="s">
        <v>9</v>
      </c>
      <c r="G58" s="1" t="s">
        <v>146</v>
      </c>
      <c r="H58" s="1" t="s">
        <v>25</v>
      </c>
      <c r="I58" s="11">
        <v>46159</v>
      </c>
      <c r="J58" s="12">
        <v>46167</v>
      </c>
      <c r="K58" s="12">
        <v>46168</v>
      </c>
      <c r="L58" s="12">
        <v>46175</v>
      </c>
      <c r="M58" s="1" t="s">
        <v>32</v>
      </c>
      <c r="N58" s="6">
        <v>20</v>
      </c>
      <c r="O58" s="6">
        <v>15</v>
      </c>
      <c r="P58" s="12">
        <f t="shared" ref="P58:P60" si="27">I58+N58-1</f>
        <v>46178</v>
      </c>
      <c r="Q58" s="11">
        <f>J58+O58-1</f>
        <v>46181</v>
      </c>
      <c r="R58" s="24">
        <f t="shared" ref="R58:R65" si="28">J58-P58</f>
        <v>-11</v>
      </c>
      <c r="S58" s="25">
        <f t="shared" ref="S58:S65" si="29">L58-Q58</f>
        <v>-6</v>
      </c>
      <c r="T58" s="23" t="str">
        <f t="shared" ref="T58:T60" si="30">IF(R58&gt;0,"To Paid","No")</f>
        <v>No</v>
      </c>
      <c r="U58" s="23"/>
      <c r="V58" s="1" t="s">
        <v>147</v>
      </c>
    </row>
    <row r="59" spans="1:22" x14ac:dyDescent="0.3">
      <c r="A59" s="6">
        <v>58</v>
      </c>
      <c r="B59" s="1" t="s">
        <v>143</v>
      </c>
      <c r="C59" s="1" t="s">
        <v>148</v>
      </c>
      <c r="D59" s="1" t="s">
        <v>149</v>
      </c>
      <c r="E59" s="1">
        <v>1510002939</v>
      </c>
      <c r="F59" s="8" t="s">
        <v>9</v>
      </c>
      <c r="G59" s="1" t="s">
        <v>150</v>
      </c>
      <c r="H59" s="1" t="s">
        <v>25</v>
      </c>
      <c r="I59" s="11">
        <v>46159</v>
      </c>
      <c r="J59" s="11">
        <v>46166</v>
      </c>
      <c r="K59" s="11">
        <v>46171</v>
      </c>
      <c r="L59" s="11">
        <v>46174</v>
      </c>
      <c r="M59" s="1" t="s">
        <v>32</v>
      </c>
      <c r="N59" s="6">
        <v>20</v>
      </c>
      <c r="O59" s="6">
        <v>15</v>
      </c>
      <c r="P59" s="12">
        <f t="shared" si="27"/>
        <v>46178</v>
      </c>
      <c r="Q59" s="11">
        <f>J59+O59-1</f>
        <v>46180</v>
      </c>
      <c r="R59" s="24">
        <f t="shared" si="28"/>
        <v>-12</v>
      </c>
      <c r="S59" s="25">
        <f t="shared" si="29"/>
        <v>-6</v>
      </c>
      <c r="T59" s="23" t="str">
        <f t="shared" si="30"/>
        <v>No</v>
      </c>
      <c r="U59" s="23"/>
      <c r="V59" s="1" t="s">
        <v>147</v>
      </c>
    </row>
    <row r="60" spans="1:22" x14ac:dyDescent="0.3">
      <c r="A60" s="6">
        <v>59</v>
      </c>
      <c r="B60" s="1" t="s">
        <v>143</v>
      </c>
      <c r="C60" s="1" t="s">
        <v>148</v>
      </c>
      <c r="D60" s="1" t="s">
        <v>151</v>
      </c>
      <c r="E60" s="1">
        <v>1510002939</v>
      </c>
      <c r="F60" s="8" t="s">
        <v>9</v>
      </c>
      <c r="G60" s="1" t="s">
        <v>150</v>
      </c>
      <c r="H60" s="1" t="s">
        <v>25</v>
      </c>
      <c r="I60" s="11">
        <v>46159</v>
      </c>
      <c r="J60" s="11">
        <v>46166</v>
      </c>
      <c r="K60" s="11">
        <v>46168</v>
      </c>
      <c r="L60" s="11">
        <v>46168</v>
      </c>
      <c r="M60" s="1" t="s">
        <v>32</v>
      </c>
      <c r="N60" s="6">
        <v>20</v>
      </c>
      <c r="O60" s="6">
        <v>15</v>
      </c>
      <c r="P60" s="12">
        <f t="shared" si="27"/>
        <v>46178</v>
      </c>
      <c r="Q60" s="11">
        <f>J60+O60-1</f>
        <v>46180</v>
      </c>
      <c r="R60" s="24">
        <f t="shared" si="28"/>
        <v>-12</v>
      </c>
      <c r="S60" s="25">
        <f t="shared" si="29"/>
        <v>-12</v>
      </c>
      <c r="T60" s="23" t="str">
        <f t="shared" si="30"/>
        <v>No</v>
      </c>
      <c r="U60" s="23"/>
      <c r="V60" s="1" t="s">
        <v>147</v>
      </c>
    </row>
    <row r="61" spans="1:22" ht="28.8" x14ac:dyDescent="0.3">
      <c r="A61" s="6">
        <v>60</v>
      </c>
      <c r="B61" s="1" t="s">
        <v>152</v>
      </c>
      <c r="C61" s="1" t="s">
        <v>153</v>
      </c>
      <c r="D61" s="1" t="s">
        <v>154</v>
      </c>
      <c r="E61" s="1">
        <v>1510002487</v>
      </c>
      <c r="F61" s="8" t="s">
        <v>9</v>
      </c>
      <c r="G61" s="1" t="s">
        <v>155</v>
      </c>
      <c r="H61" s="1" t="s">
        <v>25</v>
      </c>
      <c r="I61" s="11">
        <v>46176</v>
      </c>
      <c r="J61" s="12">
        <v>46185</v>
      </c>
      <c r="K61" s="12">
        <v>46187</v>
      </c>
      <c r="L61" s="12">
        <v>46188</v>
      </c>
      <c r="M61" s="1" t="s">
        <v>26</v>
      </c>
      <c r="N61" s="6">
        <v>10</v>
      </c>
      <c r="O61" s="6">
        <v>4</v>
      </c>
      <c r="P61" s="12">
        <f t="shared" ref="P61:P65" si="31">I61+N61-1</f>
        <v>46185</v>
      </c>
      <c r="Q61" s="12">
        <f t="shared" ref="Q61" si="32">J61+O61-1</f>
        <v>46188</v>
      </c>
      <c r="R61" s="15">
        <f t="shared" si="28"/>
        <v>0</v>
      </c>
      <c r="S61" s="21">
        <f t="shared" si="29"/>
        <v>0</v>
      </c>
      <c r="T61" s="6" t="str">
        <f t="shared" ref="T61:T65" si="33">IF(R61&gt;0,"To Paid","No")</f>
        <v>No</v>
      </c>
      <c r="U61" s="6"/>
      <c r="V61" s="9" t="s">
        <v>156</v>
      </c>
    </row>
    <row r="62" spans="1:22" x14ac:dyDescent="0.3">
      <c r="A62" s="6">
        <v>61</v>
      </c>
      <c r="B62" s="1" t="s">
        <v>28</v>
      </c>
      <c r="C62" s="1" t="s">
        <v>157</v>
      </c>
      <c r="D62" s="1" t="s">
        <v>158</v>
      </c>
      <c r="E62" s="1">
        <v>1510002568</v>
      </c>
      <c r="F62" s="8" t="s">
        <v>9</v>
      </c>
      <c r="G62" s="1" t="s">
        <v>140</v>
      </c>
      <c r="H62" s="1" t="s">
        <v>25</v>
      </c>
      <c r="I62" s="11">
        <v>46169</v>
      </c>
      <c r="J62" s="11">
        <v>46176</v>
      </c>
      <c r="K62" s="11">
        <v>46179</v>
      </c>
      <c r="L62" s="11">
        <v>46179</v>
      </c>
      <c r="M62" s="1" t="s">
        <v>32</v>
      </c>
      <c r="N62" s="6">
        <v>9</v>
      </c>
      <c r="O62" s="6">
        <v>5</v>
      </c>
      <c r="P62" s="12">
        <f t="shared" si="31"/>
        <v>46177</v>
      </c>
      <c r="Q62" s="11">
        <f>J62+O62-1</f>
        <v>46180</v>
      </c>
      <c r="R62" s="24">
        <f t="shared" si="28"/>
        <v>-1</v>
      </c>
      <c r="S62" s="25">
        <f t="shared" si="29"/>
        <v>-1</v>
      </c>
      <c r="T62" s="23" t="str">
        <f t="shared" si="33"/>
        <v>No</v>
      </c>
      <c r="U62" s="23"/>
      <c r="V62" s="1" t="s">
        <v>159</v>
      </c>
    </row>
    <row r="63" spans="1:22" x14ac:dyDescent="0.3">
      <c r="A63" s="6">
        <v>62</v>
      </c>
      <c r="B63" s="1" t="s">
        <v>28</v>
      </c>
      <c r="C63" s="1" t="s">
        <v>157</v>
      </c>
      <c r="D63" s="1" t="s">
        <v>160</v>
      </c>
      <c r="E63" s="1">
        <v>1510002568</v>
      </c>
      <c r="F63" s="8" t="s">
        <v>9</v>
      </c>
      <c r="G63" s="1" t="s">
        <v>140</v>
      </c>
      <c r="H63" s="1" t="s">
        <v>25</v>
      </c>
      <c r="I63" s="11">
        <v>46169</v>
      </c>
      <c r="J63" s="11">
        <v>46177</v>
      </c>
      <c r="K63" s="11">
        <v>46183</v>
      </c>
      <c r="L63" s="11">
        <v>46184</v>
      </c>
      <c r="M63" s="1" t="s">
        <v>32</v>
      </c>
      <c r="N63" s="6">
        <v>9</v>
      </c>
      <c r="O63" s="6">
        <v>6</v>
      </c>
      <c r="P63" s="12">
        <f t="shared" si="31"/>
        <v>46177</v>
      </c>
      <c r="Q63" s="11">
        <f>J63+O63-1</f>
        <v>46182</v>
      </c>
      <c r="R63" s="24">
        <f t="shared" si="28"/>
        <v>0</v>
      </c>
      <c r="S63" s="25">
        <f t="shared" si="29"/>
        <v>2</v>
      </c>
      <c r="T63" s="23" t="str">
        <f t="shared" si="33"/>
        <v>No</v>
      </c>
      <c r="U63" s="23"/>
      <c r="V63" s="1" t="s">
        <v>159</v>
      </c>
    </row>
    <row r="64" spans="1:22" x14ac:dyDescent="0.3">
      <c r="A64" s="6">
        <v>63</v>
      </c>
      <c r="B64" s="1" t="s">
        <v>28</v>
      </c>
      <c r="C64" s="1" t="s">
        <v>161</v>
      </c>
      <c r="D64" s="1" t="s">
        <v>162</v>
      </c>
      <c r="E64" s="1">
        <v>1510002573</v>
      </c>
      <c r="F64" s="8" t="s">
        <v>9</v>
      </c>
      <c r="G64" s="1" t="s">
        <v>140</v>
      </c>
      <c r="H64" s="1" t="s">
        <v>25</v>
      </c>
      <c r="I64" s="12">
        <v>46143</v>
      </c>
      <c r="J64" s="12">
        <v>46153</v>
      </c>
      <c r="K64" s="12">
        <v>46154</v>
      </c>
      <c r="L64" s="12">
        <v>46155</v>
      </c>
      <c r="M64" s="1" t="s">
        <v>32</v>
      </c>
      <c r="N64" s="6"/>
      <c r="O64" s="6"/>
      <c r="P64" s="12">
        <f t="shared" si="31"/>
        <v>46142</v>
      </c>
      <c r="Q64" s="11">
        <f t="shared" ref="Q64:Q65" si="34">J64+O64-1</f>
        <v>46152</v>
      </c>
      <c r="R64" s="24">
        <f t="shared" si="28"/>
        <v>11</v>
      </c>
      <c r="S64" s="25">
        <f t="shared" si="29"/>
        <v>3</v>
      </c>
      <c r="T64" s="23" t="str">
        <f t="shared" si="33"/>
        <v>To Paid</v>
      </c>
      <c r="U64" s="23"/>
      <c r="V64" s="1"/>
    </row>
    <row r="65" spans="1:22" x14ac:dyDescent="0.3">
      <c r="A65" s="6">
        <v>64</v>
      </c>
      <c r="B65" s="1" t="s">
        <v>28</v>
      </c>
      <c r="C65" s="1" t="s">
        <v>161</v>
      </c>
      <c r="D65" s="1" t="s">
        <v>163</v>
      </c>
      <c r="E65" s="1">
        <v>1510002573</v>
      </c>
      <c r="F65" s="8" t="s">
        <v>9</v>
      </c>
      <c r="G65" s="1" t="s">
        <v>140</v>
      </c>
      <c r="H65" s="1" t="s">
        <v>25</v>
      </c>
      <c r="I65" s="12">
        <v>46143</v>
      </c>
      <c r="J65" s="12">
        <v>46151</v>
      </c>
      <c r="K65" s="12">
        <v>46153</v>
      </c>
      <c r="L65" s="12">
        <v>46154</v>
      </c>
      <c r="M65" s="1" t="s">
        <v>32</v>
      </c>
      <c r="N65" s="6"/>
      <c r="O65" s="6"/>
      <c r="P65" s="12">
        <f t="shared" si="31"/>
        <v>46142</v>
      </c>
      <c r="Q65" s="11">
        <f t="shared" si="34"/>
        <v>46150</v>
      </c>
      <c r="R65" s="24">
        <f t="shared" si="28"/>
        <v>9</v>
      </c>
      <c r="S65" s="25">
        <f t="shared" si="29"/>
        <v>4</v>
      </c>
      <c r="T65" s="23" t="str">
        <f t="shared" si="33"/>
        <v>To Paid</v>
      </c>
      <c r="U65" s="23"/>
      <c r="V65" s="1"/>
    </row>
    <row r="66" spans="1:22" ht="28.8" x14ac:dyDescent="0.3">
      <c r="A66" s="6">
        <v>65</v>
      </c>
      <c r="B66" s="1" t="s">
        <v>152</v>
      </c>
      <c r="C66" s="1" t="s">
        <v>164</v>
      </c>
      <c r="D66" s="1" t="s">
        <v>165</v>
      </c>
      <c r="E66" s="1">
        <v>1510002149</v>
      </c>
      <c r="F66" s="8" t="s">
        <v>9</v>
      </c>
      <c r="G66" s="1" t="s">
        <v>155</v>
      </c>
      <c r="H66" s="1" t="s">
        <v>25</v>
      </c>
      <c r="I66" s="11">
        <v>46196</v>
      </c>
      <c r="J66" s="11">
        <v>46200</v>
      </c>
      <c r="K66" s="11">
        <v>46203</v>
      </c>
      <c r="L66" s="11">
        <v>46206</v>
      </c>
      <c r="M66" s="1" t="s">
        <v>26</v>
      </c>
      <c r="N66" s="6">
        <v>7</v>
      </c>
      <c r="O66" s="6">
        <v>7</v>
      </c>
      <c r="P66" s="12">
        <f t="shared" ref="P66" si="35">I66+N66-1</f>
        <v>46202</v>
      </c>
      <c r="Q66" s="12">
        <f t="shared" ref="Q66" si="36">J66+O66-1</f>
        <v>46206</v>
      </c>
      <c r="R66" s="15">
        <f t="shared" ref="R66:R83" si="37">J66-P66</f>
        <v>-2</v>
      </c>
      <c r="S66" s="21">
        <f>L66-Q66</f>
        <v>0</v>
      </c>
      <c r="T66" s="6" t="str">
        <f t="shared" ref="T66" si="38">IF(R66&gt;0,"To Paid","No")</f>
        <v>No</v>
      </c>
      <c r="U66" s="6"/>
      <c r="V66" s="9" t="s">
        <v>166</v>
      </c>
    </row>
    <row r="67" spans="1:22" ht="28.8" x14ac:dyDescent="0.3">
      <c r="A67" s="6">
        <v>66</v>
      </c>
      <c r="B67" s="1" t="s">
        <v>152</v>
      </c>
      <c r="C67" s="1" t="s">
        <v>164</v>
      </c>
      <c r="D67" s="1" t="s">
        <v>167</v>
      </c>
      <c r="E67" s="1">
        <v>1510002149</v>
      </c>
      <c r="F67" s="8" t="s">
        <v>9</v>
      </c>
      <c r="G67" s="1" t="s">
        <v>155</v>
      </c>
      <c r="H67" s="1" t="s">
        <v>25</v>
      </c>
      <c r="I67" s="11">
        <v>46196</v>
      </c>
      <c r="J67" s="11">
        <v>46200</v>
      </c>
      <c r="K67" s="11">
        <v>46203</v>
      </c>
      <c r="L67" s="11">
        <v>46206</v>
      </c>
      <c r="M67" s="1" t="s">
        <v>26</v>
      </c>
      <c r="N67" s="6">
        <v>7</v>
      </c>
      <c r="O67" s="6">
        <v>7</v>
      </c>
      <c r="P67" s="12">
        <f t="shared" ref="P67" si="39">I67+N67-1</f>
        <v>46202</v>
      </c>
      <c r="Q67" s="12">
        <f t="shared" ref="Q67" si="40">J67+O67-1</f>
        <v>46206</v>
      </c>
      <c r="R67" s="15">
        <f t="shared" si="37"/>
        <v>-2</v>
      </c>
      <c r="S67" s="21">
        <f>L67-Q67</f>
        <v>0</v>
      </c>
      <c r="T67" s="6" t="str">
        <f t="shared" ref="T67" si="41">IF(R67&gt;0,"To Paid","No")</f>
        <v>No</v>
      </c>
      <c r="U67" s="6"/>
      <c r="V67" s="9" t="s">
        <v>166</v>
      </c>
    </row>
    <row r="68" spans="1:22" x14ac:dyDescent="0.3">
      <c r="A68" s="6">
        <v>67</v>
      </c>
      <c r="B68" s="1" t="s">
        <v>41</v>
      </c>
      <c r="C68" s="1" t="s">
        <v>168</v>
      </c>
      <c r="D68" s="1" t="s">
        <v>169</v>
      </c>
      <c r="E68" s="1">
        <v>1510002490</v>
      </c>
      <c r="F68" s="8" t="s">
        <v>9</v>
      </c>
      <c r="G68" s="1" t="s">
        <v>44</v>
      </c>
      <c r="H68" s="1" t="s">
        <v>25</v>
      </c>
      <c r="I68" s="11">
        <v>46196</v>
      </c>
      <c r="J68" s="11">
        <v>46200</v>
      </c>
      <c r="K68" s="11">
        <v>46203</v>
      </c>
      <c r="L68" s="11">
        <v>46206</v>
      </c>
      <c r="M68" s="1" t="s">
        <v>26</v>
      </c>
      <c r="N68" s="6">
        <v>6</v>
      </c>
      <c r="O68" s="6">
        <v>8</v>
      </c>
      <c r="P68" s="12">
        <f>I68+N68-1</f>
        <v>46201</v>
      </c>
      <c r="Q68" s="11">
        <f>J68+O68-1</f>
        <v>46207</v>
      </c>
      <c r="R68" s="24">
        <f t="shared" si="37"/>
        <v>-1</v>
      </c>
      <c r="S68" s="25">
        <f>L68-Q68</f>
        <v>-1</v>
      </c>
      <c r="T68" s="23" t="str">
        <f t="shared" ref="T68" si="42">IF(R68&gt;0,"To Paid","No")</f>
        <v>No</v>
      </c>
      <c r="U68" s="23"/>
      <c r="V68" s="1" t="s">
        <v>170</v>
      </c>
    </row>
    <row r="69" spans="1:22" x14ac:dyDescent="0.3">
      <c r="A69" s="6">
        <v>68</v>
      </c>
      <c r="B69" s="1" t="s">
        <v>41</v>
      </c>
      <c r="C69" s="1" t="s">
        <v>171</v>
      </c>
      <c r="D69" s="1" t="s">
        <v>172</v>
      </c>
      <c r="E69" s="1">
        <v>1510002475</v>
      </c>
      <c r="F69" s="8" t="s">
        <v>9</v>
      </c>
      <c r="G69" s="1" t="s">
        <v>44</v>
      </c>
      <c r="H69" s="1" t="s">
        <v>25</v>
      </c>
      <c r="I69" s="11">
        <v>46170</v>
      </c>
      <c r="J69" s="11">
        <v>46185</v>
      </c>
      <c r="K69" s="11">
        <v>46190</v>
      </c>
      <c r="L69" s="11">
        <v>46191</v>
      </c>
      <c r="M69" s="1" t="s">
        <v>26</v>
      </c>
      <c r="N69" s="6">
        <v>14</v>
      </c>
      <c r="O69" s="6">
        <v>0</v>
      </c>
      <c r="P69" s="12">
        <f>I69+N69-1</f>
        <v>46183</v>
      </c>
      <c r="Q69" s="12">
        <f>J69+O69</f>
        <v>46185</v>
      </c>
      <c r="R69" s="15">
        <f t="shared" si="37"/>
        <v>2</v>
      </c>
      <c r="S69" s="21">
        <f>L69-J69</f>
        <v>6</v>
      </c>
      <c r="T69" s="6" t="str">
        <f>IF(R69&gt;0,"To Paid","No")</f>
        <v>To Paid</v>
      </c>
      <c r="U69" s="6"/>
      <c r="V69" s="9" t="s">
        <v>173</v>
      </c>
    </row>
    <row r="70" spans="1:22" x14ac:dyDescent="0.3">
      <c r="A70" s="6">
        <v>69</v>
      </c>
      <c r="B70" s="1" t="s">
        <v>62</v>
      </c>
      <c r="C70" s="1" t="s">
        <v>174</v>
      </c>
      <c r="D70" s="1" t="s">
        <v>175</v>
      </c>
      <c r="E70" s="1">
        <v>1510002633</v>
      </c>
      <c r="F70" s="8" t="s">
        <v>9</v>
      </c>
      <c r="G70" s="1" t="s">
        <v>65</v>
      </c>
      <c r="H70" s="1" t="s">
        <v>66</v>
      </c>
      <c r="I70" s="11">
        <v>46159</v>
      </c>
      <c r="J70" s="11">
        <v>46179</v>
      </c>
      <c r="K70" s="11">
        <v>46185</v>
      </c>
      <c r="L70" s="11">
        <v>46185</v>
      </c>
      <c r="M70" s="1" t="s">
        <v>32</v>
      </c>
      <c r="N70" s="6">
        <v>20</v>
      </c>
      <c r="O70" s="6">
        <v>15</v>
      </c>
      <c r="P70" s="12">
        <f t="shared" ref="P70:P82" si="43">I70+N70-1</f>
        <v>46178</v>
      </c>
      <c r="Q70" s="11">
        <f t="shared" ref="Q70:Q82" si="44">J70+O70-1</f>
        <v>46193</v>
      </c>
      <c r="R70" s="24">
        <f t="shared" si="37"/>
        <v>1</v>
      </c>
      <c r="S70" s="25">
        <f t="shared" ref="S70:S83" si="45">L70-Q70</f>
        <v>-8</v>
      </c>
      <c r="T70" s="23" t="str">
        <f t="shared" ref="T70:T82" si="46">IF(R70&gt;0,"To Paid","No")</f>
        <v>To Paid</v>
      </c>
      <c r="U70" s="23"/>
      <c r="V70" s="1" t="s">
        <v>176</v>
      </c>
    </row>
    <row r="71" spans="1:22" x14ac:dyDescent="0.3">
      <c r="A71" s="6">
        <v>70</v>
      </c>
      <c r="B71" s="1" t="s">
        <v>62</v>
      </c>
      <c r="C71" s="1" t="s">
        <v>174</v>
      </c>
      <c r="D71" s="1" t="s">
        <v>177</v>
      </c>
      <c r="E71" s="1">
        <v>1510002633</v>
      </c>
      <c r="F71" s="8" t="s">
        <v>9</v>
      </c>
      <c r="G71" s="1" t="s">
        <v>65</v>
      </c>
      <c r="H71" s="1" t="s">
        <v>66</v>
      </c>
      <c r="I71" s="11">
        <v>46159</v>
      </c>
      <c r="J71" s="11">
        <v>46179</v>
      </c>
      <c r="K71" s="11">
        <v>46183</v>
      </c>
      <c r="L71" s="11">
        <v>46183</v>
      </c>
      <c r="M71" s="1" t="s">
        <v>32</v>
      </c>
      <c r="N71" s="6">
        <v>20</v>
      </c>
      <c r="O71" s="6">
        <v>15</v>
      </c>
      <c r="P71" s="12">
        <f t="shared" si="43"/>
        <v>46178</v>
      </c>
      <c r="Q71" s="11">
        <f t="shared" si="44"/>
        <v>46193</v>
      </c>
      <c r="R71" s="24">
        <f t="shared" si="37"/>
        <v>1</v>
      </c>
      <c r="S71" s="25">
        <f t="shared" si="45"/>
        <v>-10</v>
      </c>
      <c r="T71" s="23" t="str">
        <f t="shared" si="46"/>
        <v>To Paid</v>
      </c>
      <c r="U71" s="23"/>
      <c r="V71" s="1" t="s">
        <v>176</v>
      </c>
    </row>
    <row r="72" spans="1:22" x14ac:dyDescent="0.3">
      <c r="A72" s="6">
        <v>71</v>
      </c>
      <c r="B72" s="1" t="s">
        <v>62</v>
      </c>
      <c r="C72" s="1" t="s">
        <v>174</v>
      </c>
      <c r="D72" s="1" t="s">
        <v>178</v>
      </c>
      <c r="E72" s="1">
        <v>1510002633</v>
      </c>
      <c r="F72" s="8" t="s">
        <v>9</v>
      </c>
      <c r="G72" s="1" t="s">
        <v>65</v>
      </c>
      <c r="H72" s="1" t="s">
        <v>66</v>
      </c>
      <c r="I72" s="11">
        <v>46159</v>
      </c>
      <c r="J72" s="11">
        <v>46181</v>
      </c>
      <c r="K72" s="11">
        <v>46183</v>
      </c>
      <c r="L72" s="11">
        <v>46183</v>
      </c>
      <c r="M72" s="1" t="s">
        <v>32</v>
      </c>
      <c r="N72" s="6">
        <v>20</v>
      </c>
      <c r="O72" s="6">
        <v>15</v>
      </c>
      <c r="P72" s="12">
        <f t="shared" si="43"/>
        <v>46178</v>
      </c>
      <c r="Q72" s="11">
        <f t="shared" si="44"/>
        <v>46195</v>
      </c>
      <c r="R72" s="24">
        <f t="shared" si="37"/>
        <v>3</v>
      </c>
      <c r="S72" s="25">
        <f t="shared" si="45"/>
        <v>-12</v>
      </c>
      <c r="T72" s="23" t="str">
        <f t="shared" si="46"/>
        <v>To Paid</v>
      </c>
      <c r="U72" s="23"/>
      <c r="V72" s="1" t="s">
        <v>176</v>
      </c>
    </row>
    <row r="73" spans="1:22" x14ac:dyDescent="0.3">
      <c r="A73" s="6">
        <v>72</v>
      </c>
      <c r="B73" s="1" t="s">
        <v>62</v>
      </c>
      <c r="C73" s="1" t="s">
        <v>174</v>
      </c>
      <c r="D73" s="1" t="s">
        <v>179</v>
      </c>
      <c r="E73" s="1">
        <v>1510002633</v>
      </c>
      <c r="F73" s="8" t="s">
        <v>9</v>
      </c>
      <c r="G73" s="1" t="s">
        <v>65</v>
      </c>
      <c r="H73" s="1" t="s">
        <v>66</v>
      </c>
      <c r="I73" s="11">
        <v>46159</v>
      </c>
      <c r="J73" s="11">
        <v>46181</v>
      </c>
      <c r="K73" s="11">
        <v>46185</v>
      </c>
      <c r="L73" s="11">
        <v>46185</v>
      </c>
      <c r="M73" s="1" t="s">
        <v>32</v>
      </c>
      <c r="N73" s="6">
        <v>20</v>
      </c>
      <c r="O73" s="6">
        <v>15</v>
      </c>
      <c r="P73" s="12">
        <f t="shared" si="43"/>
        <v>46178</v>
      </c>
      <c r="Q73" s="11">
        <f t="shared" si="44"/>
        <v>46195</v>
      </c>
      <c r="R73" s="24">
        <f t="shared" si="37"/>
        <v>3</v>
      </c>
      <c r="S73" s="25">
        <f t="shared" si="45"/>
        <v>-10</v>
      </c>
      <c r="T73" s="23" t="str">
        <f t="shared" si="46"/>
        <v>To Paid</v>
      </c>
      <c r="U73" s="23"/>
      <c r="V73" s="1" t="s">
        <v>176</v>
      </c>
    </row>
    <row r="74" spans="1:22" ht="43.2" x14ac:dyDescent="0.3">
      <c r="A74" s="6">
        <v>73</v>
      </c>
      <c r="B74" s="1" t="s">
        <v>62</v>
      </c>
      <c r="C74" s="1" t="s">
        <v>180</v>
      </c>
      <c r="D74" s="1" t="s">
        <v>181</v>
      </c>
      <c r="E74" s="1">
        <v>1510002632</v>
      </c>
      <c r="F74" s="8" t="s">
        <v>9</v>
      </c>
      <c r="G74" s="1" t="s">
        <v>65</v>
      </c>
      <c r="H74" s="1" t="s">
        <v>66</v>
      </c>
      <c r="I74" s="11">
        <v>46159</v>
      </c>
      <c r="J74" s="13">
        <v>46183</v>
      </c>
      <c r="K74" s="13">
        <v>46186</v>
      </c>
      <c r="L74" s="13">
        <v>46186</v>
      </c>
      <c r="M74" s="1" t="s">
        <v>32</v>
      </c>
      <c r="N74" s="6">
        <v>20</v>
      </c>
      <c r="O74" s="6">
        <v>15</v>
      </c>
      <c r="P74" s="12">
        <f t="shared" si="43"/>
        <v>46178</v>
      </c>
      <c r="Q74" s="11">
        <f t="shared" si="44"/>
        <v>46197</v>
      </c>
      <c r="R74" s="24">
        <f t="shared" si="37"/>
        <v>5</v>
      </c>
      <c r="S74" s="25">
        <f t="shared" si="45"/>
        <v>-11</v>
      </c>
      <c r="T74" s="23" t="str">
        <f t="shared" si="46"/>
        <v>To Paid</v>
      </c>
      <c r="U74" s="23"/>
      <c r="V74" s="9" t="s">
        <v>182</v>
      </c>
    </row>
    <row r="75" spans="1:22" ht="43.2" x14ac:dyDescent="0.3">
      <c r="A75" s="6">
        <v>74</v>
      </c>
      <c r="B75" s="1" t="s">
        <v>62</v>
      </c>
      <c r="C75" s="1" t="s">
        <v>180</v>
      </c>
      <c r="D75" s="1" t="s">
        <v>183</v>
      </c>
      <c r="E75" s="1">
        <v>1510002632</v>
      </c>
      <c r="F75" s="8" t="s">
        <v>9</v>
      </c>
      <c r="G75" s="1" t="s">
        <v>65</v>
      </c>
      <c r="H75" s="1" t="s">
        <v>66</v>
      </c>
      <c r="I75" s="11">
        <v>46159</v>
      </c>
      <c r="J75" s="13">
        <v>46184</v>
      </c>
      <c r="K75" s="13">
        <v>46189</v>
      </c>
      <c r="L75" s="13">
        <v>46159</v>
      </c>
      <c r="M75" s="1" t="s">
        <v>32</v>
      </c>
      <c r="N75" s="6">
        <v>20</v>
      </c>
      <c r="O75" s="6">
        <v>15</v>
      </c>
      <c r="P75" s="12">
        <f t="shared" si="43"/>
        <v>46178</v>
      </c>
      <c r="Q75" s="11">
        <f t="shared" si="44"/>
        <v>46198</v>
      </c>
      <c r="R75" s="24">
        <f t="shared" si="37"/>
        <v>6</v>
      </c>
      <c r="S75" s="25">
        <f t="shared" si="45"/>
        <v>-39</v>
      </c>
      <c r="T75" s="23" t="str">
        <f t="shared" si="46"/>
        <v>To Paid</v>
      </c>
      <c r="U75" s="23"/>
      <c r="V75" s="9" t="s">
        <v>182</v>
      </c>
    </row>
    <row r="76" spans="1:22" ht="43.2" x14ac:dyDescent="0.3">
      <c r="A76" s="6">
        <v>75</v>
      </c>
      <c r="B76" s="1" t="s">
        <v>62</v>
      </c>
      <c r="C76" s="1" t="s">
        <v>180</v>
      </c>
      <c r="D76" s="1" t="s">
        <v>184</v>
      </c>
      <c r="E76" s="1">
        <v>1510002632</v>
      </c>
      <c r="F76" s="8" t="s">
        <v>9</v>
      </c>
      <c r="G76" s="1" t="s">
        <v>65</v>
      </c>
      <c r="H76" s="1" t="s">
        <v>66</v>
      </c>
      <c r="I76" s="11">
        <v>46159</v>
      </c>
      <c r="J76" s="13">
        <v>46184</v>
      </c>
      <c r="K76" s="13">
        <v>46186</v>
      </c>
      <c r="L76" s="13">
        <v>46187</v>
      </c>
      <c r="M76" s="1" t="s">
        <v>32</v>
      </c>
      <c r="N76" s="6">
        <v>20</v>
      </c>
      <c r="O76" s="6">
        <v>15</v>
      </c>
      <c r="P76" s="12">
        <f t="shared" si="43"/>
        <v>46178</v>
      </c>
      <c r="Q76" s="11">
        <f t="shared" si="44"/>
        <v>46198</v>
      </c>
      <c r="R76" s="24">
        <f t="shared" si="37"/>
        <v>6</v>
      </c>
      <c r="S76" s="25">
        <f t="shared" si="45"/>
        <v>-11</v>
      </c>
      <c r="T76" s="23" t="str">
        <f t="shared" si="46"/>
        <v>To Paid</v>
      </c>
      <c r="U76" s="23"/>
      <c r="V76" s="9" t="s">
        <v>182</v>
      </c>
    </row>
    <row r="77" spans="1:22" ht="43.2" x14ac:dyDescent="0.3">
      <c r="A77" s="6">
        <v>76</v>
      </c>
      <c r="B77" s="1" t="s">
        <v>62</v>
      </c>
      <c r="C77" s="1" t="s">
        <v>180</v>
      </c>
      <c r="D77" s="1" t="s">
        <v>185</v>
      </c>
      <c r="E77" s="1">
        <v>1510002632</v>
      </c>
      <c r="F77" s="8" t="s">
        <v>9</v>
      </c>
      <c r="G77" s="1" t="s">
        <v>65</v>
      </c>
      <c r="H77" s="1" t="s">
        <v>66</v>
      </c>
      <c r="I77" s="11">
        <v>46159</v>
      </c>
      <c r="J77" s="13">
        <v>46184</v>
      </c>
      <c r="K77" s="13">
        <v>46192</v>
      </c>
      <c r="L77" s="13">
        <v>46193</v>
      </c>
      <c r="M77" s="1" t="s">
        <v>32</v>
      </c>
      <c r="N77" s="6">
        <v>20</v>
      </c>
      <c r="O77" s="6">
        <v>15</v>
      </c>
      <c r="P77" s="12">
        <f t="shared" si="43"/>
        <v>46178</v>
      </c>
      <c r="Q77" s="11">
        <f t="shared" si="44"/>
        <v>46198</v>
      </c>
      <c r="R77" s="24">
        <f t="shared" si="37"/>
        <v>6</v>
      </c>
      <c r="S77" s="25">
        <f t="shared" si="45"/>
        <v>-5</v>
      </c>
      <c r="T77" s="23" t="str">
        <f t="shared" si="46"/>
        <v>To Paid</v>
      </c>
      <c r="U77" s="23"/>
      <c r="V77" s="9" t="s">
        <v>182</v>
      </c>
    </row>
    <row r="78" spans="1:22" x14ac:dyDescent="0.3">
      <c r="A78" s="6">
        <v>77</v>
      </c>
      <c r="B78" s="1" t="s">
        <v>62</v>
      </c>
      <c r="C78" s="1" t="s">
        <v>186</v>
      </c>
      <c r="D78" s="1" t="s">
        <v>187</v>
      </c>
      <c r="E78" s="1">
        <v>1510002634</v>
      </c>
      <c r="F78" s="8" t="s">
        <v>9</v>
      </c>
      <c r="G78" s="1" t="s">
        <v>65</v>
      </c>
      <c r="H78" s="1" t="s">
        <v>66</v>
      </c>
      <c r="I78" s="11">
        <v>46171</v>
      </c>
      <c r="J78" s="11">
        <v>46177</v>
      </c>
      <c r="K78" s="11">
        <v>46182</v>
      </c>
      <c r="L78" s="11">
        <v>46182</v>
      </c>
      <c r="M78" s="1" t="s">
        <v>32</v>
      </c>
      <c r="N78" s="6">
        <v>20</v>
      </c>
      <c r="O78" s="6">
        <v>15</v>
      </c>
      <c r="P78" s="12">
        <f t="shared" si="43"/>
        <v>46190</v>
      </c>
      <c r="Q78" s="11">
        <f t="shared" si="44"/>
        <v>46191</v>
      </c>
      <c r="R78" s="24">
        <f t="shared" si="37"/>
        <v>-13</v>
      </c>
      <c r="S78" s="25">
        <f t="shared" si="45"/>
        <v>-9</v>
      </c>
      <c r="T78" s="23" t="str">
        <f t="shared" si="46"/>
        <v>No</v>
      </c>
      <c r="U78" s="23"/>
      <c r="V78" s="1" t="s">
        <v>188</v>
      </c>
    </row>
    <row r="79" spans="1:22" x14ac:dyDescent="0.3">
      <c r="A79" s="6">
        <v>78</v>
      </c>
      <c r="B79" s="1" t="s">
        <v>62</v>
      </c>
      <c r="C79" s="1" t="s">
        <v>186</v>
      </c>
      <c r="D79" s="1" t="s">
        <v>189</v>
      </c>
      <c r="E79" s="1">
        <v>1510002634</v>
      </c>
      <c r="F79" s="8" t="s">
        <v>9</v>
      </c>
      <c r="G79" s="1" t="s">
        <v>65</v>
      </c>
      <c r="H79" s="1" t="s">
        <v>66</v>
      </c>
      <c r="I79" s="11">
        <v>46171</v>
      </c>
      <c r="J79" s="11">
        <v>46177</v>
      </c>
      <c r="K79" s="11">
        <v>46181</v>
      </c>
      <c r="L79" s="11">
        <v>46181</v>
      </c>
      <c r="M79" s="1" t="s">
        <v>32</v>
      </c>
      <c r="N79" s="6">
        <v>20</v>
      </c>
      <c r="O79" s="6">
        <v>15</v>
      </c>
      <c r="P79" s="12">
        <f t="shared" si="43"/>
        <v>46190</v>
      </c>
      <c r="Q79" s="11">
        <f t="shared" si="44"/>
        <v>46191</v>
      </c>
      <c r="R79" s="24">
        <f t="shared" si="37"/>
        <v>-13</v>
      </c>
      <c r="S79" s="25">
        <f t="shared" si="45"/>
        <v>-10</v>
      </c>
      <c r="T79" s="23" t="str">
        <f t="shared" si="46"/>
        <v>No</v>
      </c>
      <c r="U79" s="23"/>
      <c r="V79" s="1" t="s">
        <v>188</v>
      </c>
    </row>
    <row r="80" spans="1:22" x14ac:dyDescent="0.3">
      <c r="A80" s="6">
        <v>79</v>
      </c>
      <c r="B80" s="1" t="s">
        <v>62</v>
      </c>
      <c r="C80" s="1" t="s">
        <v>186</v>
      </c>
      <c r="D80" s="1" t="s">
        <v>190</v>
      </c>
      <c r="E80" s="1">
        <v>1510002634</v>
      </c>
      <c r="F80" s="8" t="s">
        <v>9</v>
      </c>
      <c r="G80" s="1" t="s">
        <v>65</v>
      </c>
      <c r="H80" s="1" t="s">
        <v>66</v>
      </c>
      <c r="I80" s="11">
        <v>46171</v>
      </c>
      <c r="J80" s="11">
        <v>46177</v>
      </c>
      <c r="K80" s="11">
        <v>46179</v>
      </c>
      <c r="L80" s="11">
        <v>46179</v>
      </c>
      <c r="M80" s="1" t="s">
        <v>32</v>
      </c>
      <c r="N80" s="6">
        <v>20</v>
      </c>
      <c r="O80" s="6">
        <v>15</v>
      </c>
      <c r="P80" s="12">
        <f t="shared" si="43"/>
        <v>46190</v>
      </c>
      <c r="Q80" s="11">
        <f t="shared" si="44"/>
        <v>46191</v>
      </c>
      <c r="R80" s="24">
        <f t="shared" si="37"/>
        <v>-13</v>
      </c>
      <c r="S80" s="25">
        <f t="shared" si="45"/>
        <v>-12</v>
      </c>
      <c r="T80" s="23" t="str">
        <f t="shared" si="46"/>
        <v>No</v>
      </c>
      <c r="U80" s="23"/>
      <c r="V80" s="1" t="s">
        <v>188</v>
      </c>
    </row>
    <row r="81" spans="1:22" x14ac:dyDescent="0.3">
      <c r="A81" s="6">
        <v>80</v>
      </c>
      <c r="B81" s="1" t="s">
        <v>62</v>
      </c>
      <c r="C81" s="1" t="s">
        <v>186</v>
      </c>
      <c r="D81" s="1" t="s">
        <v>191</v>
      </c>
      <c r="E81" s="1">
        <v>1510002634</v>
      </c>
      <c r="F81" s="8" t="s">
        <v>9</v>
      </c>
      <c r="G81" s="1" t="s">
        <v>65</v>
      </c>
      <c r="H81" s="1" t="s">
        <v>66</v>
      </c>
      <c r="I81" s="11">
        <v>46171</v>
      </c>
      <c r="J81" s="11">
        <v>46178</v>
      </c>
      <c r="K81" s="11">
        <v>46181</v>
      </c>
      <c r="L81" s="11">
        <v>46181</v>
      </c>
      <c r="M81" s="1" t="s">
        <v>32</v>
      </c>
      <c r="N81" s="6">
        <v>20</v>
      </c>
      <c r="O81" s="6">
        <v>15</v>
      </c>
      <c r="P81" s="12">
        <f t="shared" si="43"/>
        <v>46190</v>
      </c>
      <c r="Q81" s="11">
        <f t="shared" si="44"/>
        <v>46192</v>
      </c>
      <c r="R81" s="24">
        <f t="shared" si="37"/>
        <v>-12</v>
      </c>
      <c r="S81" s="25">
        <f t="shared" si="45"/>
        <v>-11</v>
      </c>
      <c r="T81" s="23" t="str">
        <f t="shared" si="46"/>
        <v>No</v>
      </c>
      <c r="U81" s="23"/>
      <c r="V81" s="1" t="s">
        <v>188</v>
      </c>
    </row>
    <row r="82" spans="1:22" x14ac:dyDescent="0.3">
      <c r="A82" s="6">
        <v>81</v>
      </c>
      <c r="B82" s="1" t="s">
        <v>62</v>
      </c>
      <c r="C82" s="1" t="s">
        <v>192</v>
      </c>
      <c r="D82" s="1" t="s">
        <v>193</v>
      </c>
      <c r="E82" s="1">
        <v>1510003060</v>
      </c>
      <c r="F82" s="8" t="s">
        <v>9</v>
      </c>
      <c r="G82" s="1" t="s">
        <v>194</v>
      </c>
      <c r="H82" s="1" t="s">
        <v>25</v>
      </c>
      <c r="I82" s="11">
        <v>46170</v>
      </c>
      <c r="J82" s="11">
        <v>46179</v>
      </c>
      <c r="K82" s="11">
        <v>46182</v>
      </c>
      <c r="L82" s="11">
        <v>46182</v>
      </c>
      <c r="M82" s="1" t="s">
        <v>32</v>
      </c>
      <c r="N82" s="6">
        <v>20</v>
      </c>
      <c r="O82" s="6">
        <v>15</v>
      </c>
      <c r="P82" s="12">
        <f t="shared" si="43"/>
        <v>46189</v>
      </c>
      <c r="Q82" s="11">
        <f t="shared" si="44"/>
        <v>46193</v>
      </c>
      <c r="R82" s="24">
        <f t="shared" si="37"/>
        <v>-10</v>
      </c>
      <c r="S82" s="25">
        <f t="shared" si="45"/>
        <v>-11</v>
      </c>
      <c r="T82" s="23" t="str">
        <f t="shared" si="46"/>
        <v>No</v>
      </c>
      <c r="U82" s="23"/>
      <c r="V82" s="1" t="s">
        <v>195</v>
      </c>
    </row>
    <row r="83" spans="1:22" ht="28.8" x14ac:dyDescent="0.3">
      <c r="A83" s="6">
        <v>82</v>
      </c>
      <c r="B83" s="1" t="s">
        <v>28</v>
      </c>
      <c r="C83" s="1" t="s">
        <v>196</v>
      </c>
      <c r="D83" s="1" t="s">
        <v>197</v>
      </c>
      <c r="E83" s="1">
        <v>1510002777</v>
      </c>
      <c r="F83" s="8" t="s">
        <v>9</v>
      </c>
      <c r="G83" s="1" t="s">
        <v>136</v>
      </c>
      <c r="H83" s="1" t="s">
        <v>132</v>
      </c>
      <c r="I83" s="11">
        <v>46181</v>
      </c>
      <c r="J83" s="11">
        <v>46183</v>
      </c>
      <c r="K83" s="11">
        <v>46184</v>
      </c>
      <c r="L83" s="11">
        <v>46185</v>
      </c>
      <c r="M83" s="1" t="s">
        <v>32</v>
      </c>
      <c r="N83" s="6">
        <v>3</v>
      </c>
      <c r="O83" s="6">
        <v>14</v>
      </c>
      <c r="P83" s="12">
        <f>I83+N83</f>
        <v>46184</v>
      </c>
      <c r="Q83" s="11">
        <f>J83+O83</f>
        <v>46197</v>
      </c>
      <c r="R83" s="24">
        <f t="shared" si="37"/>
        <v>-1</v>
      </c>
      <c r="S83" s="25">
        <f t="shared" si="45"/>
        <v>-12</v>
      </c>
      <c r="T83" s="23" t="str">
        <f t="shared" ref="T83" si="47">IF(R83&gt;0,"To Paid","No")</f>
        <v>No</v>
      </c>
      <c r="U83" s="23"/>
      <c r="V83" s="9" t="s">
        <v>198</v>
      </c>
    </row>
    <row r="84" spans="1:22" x14ac:dyDescent="0.3">
      <c r="A84" s="6">
        <v>83</v>
      </c>
      <c r="B84" s="1" t="s">
        <v>21</v>
      </c>
      <c r="C84" s="1" t="s">
        <v>199</v>
      </c>
      <c r="D84" s="1" t="s">
        <v>200</v>
      </c>
      <c r="E84" s="1">
        <v>9700018058</v>
      </c>
      <c r="F84" s="8" t="s">
        <v>9</v>
      </c>
      <c r="G84" s="1" t="s">
        <v>24</v>
      </c>
      <c r="H84" s="1" t="s">
        <v>25</v>
      </c>
      <c r="I84" s="11">
        <v>46170</v>
      </c>
      <c r="J84" s="11">
        <v>46184</v>
      </c>
      <c r="K84" s="11">
        <v>46185</v>
      </c>
      <c r="L84" s="11">
        <v>46185</v>
      </c>
      <c r="M84" s="1" t="s">
        <v>26</v>
      </c>
      <c r="N84" s="6">
        <v>10</v>
      </c>
      <c r="O84" s="6">
        <v>10</v>
      </c>
      <c r="P84" s="12">
        <f t="shared" ref="P84:P107" si="48">I84+N84-1</f>
        <v>46179</v>
      </c>
      <c r="Q84" s="12">
        <f t="shared" ref="Q84:Q106" si="49">J84+O84-1</f>
        <v>46193</v>
      </c>
      <c r="R84" s="24">
        <f t="shared" ref="R84:R106" si="50">J84-P84</f>
        <v>5</v>
      </c>
      <c r="S84" s="25">
        <f t="shared" ref="S84:S106" si="51">L84-Q84</f>
        <v>-8</v>
      </c>
      <c r="T84" s="23" t="str">
        <f t="shared" ref="T84:T144" si="52">IF(R84&gt;0,"To Paid","No")</f>
        <v>To Paid</v>
      </c>
      <c r="U84" s="23"/>
      <c r="V84" s="1" t="s">
        <v>201</v>
      </c>
    </row>
    <row r="85" spans="1:22" x14ac:dyDescent="0.3">
      <c r="A85" s="6">
        <v>84</v>
      </c>
      <c r="B85" s="1" t="s">
        <v>21</v>
      </c>
      <c r="C85" s="1" t="s">
        <v>199</v>
      </c>
      <c r="D85" s="1" t="s">
        <v>202</v>
      </c>
      <c r="E85" s="1">
        <v>9700018058</v>
      </c>
      <c r="F85" s="8" t="s">
        <v>9</v>
      </c>
      <c r="G85" s="1" t="s">
        <v>24</v>
      </c>
      <c r="H85" s="1" t="s">
        <v>25</v>
      </c>
      <c r="I85" s="11">
        <v>46170</v>
      </c>
      <c r="J85" s="11">
        <v>46185</v>
      </c>
      <c r="K85" s="11">
        <v>46185</v>
      </c>
      <c r="L85" s="11">
        <v>46185</v>
      </c>
      <c r="M85" s="1" t="s">
        <v>26</v>
      </c>
      <c r="N85" s="6">
        <v>10</v>
      </c>
      <c r="O85" s="6">
        <v>10</v>
      </c>
      <c r="P85" s="12">
        <f t="shared" si="48"/>
        <v>46179</v>
      </c>
      <c r="Q85" s="12">
        <f t="shared" si="49"/>
        <v>46194</v>
      </c>
      <c r="R85" s="24">
        <f t="shared" si="50"/>
        <v>6</v>
      </c>
      <c r="S85" s="25">
        <f t="shared" si="51"/>
        <v>-9</v>
      </c>
      <c r="T85" s="23" t="str">
        <f t="shared" si="52"/>
        <v>To Paid</v>
      </c>
      <c r="U85" s="23"/>
      <c r="V85" s="1" t="s">
        <v>203</v>
      </c>
    </row>
    <row r="86" spans="1:22" x14ac:dyDescent="0.3">
      <c r="A86" s="6">
        <v>85</v>
      </c>
      <c r="B86" s="1" t="s">
        <v>21</v>
      </c>
      <c r="C86" s="1" t="s">
        <v>199</v>
      </c>
      <c r="D86" s="1" t="s">
        <v>204</v>
      </c>
      <c r="E86" s="1">
        <v>9700018058</v>
      </c>
      <c r="F86" s="8" t="s">
        <v>9</v>
      </c>
      <c r="G86" s="1" t="s">
        <v>24</v>
      </c>
      <c r="H86" s="1" t="s">
        <v>25</v>
      </c>
      <c r="I86" s="11">
        <v>46170</v>
      </c>
      <c r="J86" s="11">
        <v>46185</v>
      </c>
      <c r="K86" s="11">
        <v>46188</v>
      </c>
      <c r="L86" s="11">
        <v>46188</v>
      </c>
      <c r="M86" s="1" t="s">
        <v>26</v>
      </c>
      <c r="N86" s="6">
        <v>10</v>
      </c>
      <c r="O86" s="6">
        <v>10</v>
      </c>
      <c r="P86" s="12">
        <f t="shared" si="48"/>
        <v>46179</v>
      </c>
      <c r="Q86" s="12">
        <f t="shared" si="49"/>
        <v>46194</v>
      </c>
      <c r="R86" s="24">
        <f t="shared" si="50"/>
        <v>6</v>
      </c>
      <c r="S86" s="25">
        <f t="shared" si="51"/>
        <v>-6</v>
      </c>
      <c r="T86" s="23" t="str">
        <f t="shared" si="52"/>
        <v>To Paid</v>
      </c>
      <c r="U86" s="23"/>
      <c r="V86" s="1" t="s">
        <v>203</v>
      </c>
    </row>
    <row r="87" spans="1:22" x14ac:dyDescent="0.3">
      <c r="A87" s="6">
        <v>86</v>
      </c>
      <c r="B87" s="1" t="s">
        <v>21</v>
      </c>
      <c r="C87" s="1" t="s">
        <v>199</v>
      </c>
      <c r="D87" s="1" t="s">
        <v>205</v>
      </c>
      <c r="E87" s="1">
        <v>9700018058</v>
      </c>
      <c r="F87" s="8" t="s">
        <v>9</v>
      </c>
      <c r="G87" s="1" t="s">
        <v>24</v>
      </c>
      <c r="H87" s="1" t="s">
        <v>25</v>
      </c>
      <c r="I87" s="11">
        <v>46170</v>
      </c>
      <c r="J87" s="11">
        <v>46185</v>
      </c>
      <c r="K87" s="11">
        <v>46159</v>
      </c>
      <c r="L87" s="11">
        <v>46191</v>
      </c>
      <c r="M87" s="1" t="s">
        <v>26</v>
      </c>
      <c r="N87" s="6">
        <v>10</v>
      </c>
      <c r="O87" s="6">
        <v>10</v>
      </c>
      <c r="P87" s="12">
        <f t="shared" si="48"/>
        <v>46179</v>
      </c>
      <c r="Q87" s="12">
        <f t="shared" si="49"/>
        <v>46194</v>
      </c>
      <c r="R87" s="24">
        <f t="shared" si="50"/>
        <v>6</v>
      </c>
      <c r="S87" s="25">
        <f t="shared" si="51"/>
        <v>-3</v>
      </c>
      <c r="T87" s="23" t="str">
        <f t="shared" si="52"/>
        <v>To Paid</v>
      </c>
      <c r="U87" s="23"/>
      <c r="V87" s="1" t="s">
        <v>203</v>
      </c>
    </row>
    <row r="88" spans="1:22" x14ac:dyDescent="0.3">
      <c r="A88" s="6">
        <v>87</v>
      </c>
      <c r="B88" s="1" t="s">
        <v>21</v>
      </c>
      <c r="C88" s="1" t="s">
        <v>199</v>
      </c>
      <c r="D88" s="1" t="s">
        <v>206</v>
      </c>
      <c r="E88" s="1">
        <v>9700018058</v>
      </c>
      <c r="F88" s="8" t="s">
        <v>9</v>
      </c>
      <c r="G88" s="1" t="s">
        <v>24</v>
      </c>
      <c r="H88" s="1" t="s">
        <v>25</v>
      </c>
      <c r="I88" s="11">
        <v>46170</v>
      </c>
      <c r="J88" s="11">
        <v>46185</v>
      </c>
      <c r="K88" s="11">
        <v>46188</v>
      </c>
      <c r="L88" s="11">
        <v>46188</v>
      </c>
      <c r="M88" s="1" t="s">
        <v>26</v>
      </c>
      <c r="N88" s="6">
        <v>10</v>
      </c>
      <c r="O88" s="6">
        <v>10</v>
      </c>
      <c r="P88" s="12">
        <f t="shared" si="48"/>
        <v>46179</v>
      </c>
      <c r="Q88" s="12">
        <f t="shared" si="49"/>
        <v>46194</v>
      </c>
      <c r="R88" s="24">
        <f t="shared" si="50"/>
        <v>6</v>
      </c>
      <c r="S88" s="25">
        <f t="shared" si="51"/>
        <v>-6</v>
      </c>
      <c r="T88" s="23" t="str">
        <f t="shared" si="52"/>
        <v>To Paid</v>
      </c>
      <c r="U88" s="23"/>
      <c r="V88" s="1" t="s">
        <v>203</v>
      </c>
    </row>
    <row r="89" spans="1:22" x14ac:dyDescent="0.3">
      <c r="A89" s="6">
        <v>88</v>
      </c>
      <c r="B89" s="1" t="s">
        <v>21</v>
      </c>
      <c r="C89" s="1" t="s">
        <v>199</v>
      </c>
      <c r="D89" s="1" t="s">
        <v>207</v>
      </c>
      <c r="E89" s="1">
        <v>9700018058</v>
      </c>
      <c r="F89" s="8" t="s">
        <v>9</v>
      </c>
      <c r="G89" s="1" t="s">
        <v>24</v>
      </c>
      <c r="H89" s="1" t="s">
        <v>25</v>
      </c>
      <c r="I89" s="11">
        <v>46170</v>
      </c>
      <c r="J89" s="11">
        <v>46185</v>
      </c>
      <c r="K89" s="11">
        <v>46188</v>
      </c>
      <c r="L89" s="11">
        <v>46188</v>
      </c>
      <c r="M89" s="1" t="s">
        <v>26</v>
      </c>
      <c r="N89" s="6">
        <v>10</v>
      </c>
      <c r="O89" s="6">
        <v>10</v>
      </c>
      <c r="P89" s="12">
        <f t="shared" si="48"/>
        <v>46179</v>
      </c>
      <c r="Q89" s="12">
        <f t="shared" si="49"/>
        <v>46194</v>
      </c>
      <c r="R89" s="24">
        <f t="shared" si="50"/>
        <v>6</v>
      </c>
      <c r="S89" s="25">
        <f t="shared" si="51"/>
        <v>-6</v>
      </c>
      <c r="T89" s="23" t="str">
        <f t="shared" si="52"/>
        <v>To Paid</v>
      </c>
      <c r="U89" s="23"/>
      <c r="V89" s="1" t="s">
        <v>203</v>
      </c>
    </row>
    <row r="90" spans="1:22" x14ac:dyDescent="0.3">
      <c r="A90" s="6">
        <v>89</v>
      </c>
      <c r="B90" s="1" t="s">
        <v>21</v>
      </c>
      <c r="C90" s="1" t="s">
        <v>199</v>
      </c>
      <c r="D90" s="1" t="s">
        <v>208</v>
      </c>
      <c r="E90" s="1">
        <v>9700018058</v>
      </c>
      <c r="F90" s="8" t="s">
        <v>9</v>
      </c>
      <c r="G90" s="1" t="s">
        <v>24</v>
      </c>
      <c r="H90" s="1" t="s">
        <v>25</v>
      </c>
      <c r="I90" s="11">
        <v>46170</v>
      </c>
      <c r="J90" s="11">
        <v>46184</v>
      </c>
      <c r="K90" s="11">
        <v>46185</v>
      </c>
      <c r="L90" s="11">
        <v>46186</v>
      </c>
      <c r="M90" s="1" t="s">
        <v>26</v>
      </c>
      <c r="N90" s="6">
        <v>10</v>
      </c>
      <c r="O90" s="6">
        <v>10</v>
      </c>
      <c r="P90" s="12">
        <f t="shared" si="48"/>
        <v>46179</v>
      </c>
      <c r="Q90" s="12">
        <f t="shared" si="49"/>
        <v>46193</v>
      </c>
      <c r="R90" s="24">
        <f t="shared" si="50"/>
        <v>5</v>
      </c>
      <c r="S90" s="25">
        <f t="shared" si="51"/>
        <v>-7</v>
      </c>
      <c r="T90" s="23" t="str">
        <f t="shared" si="52"/>
        <v>To Paid</v>
      </c>
      <c r="U90" s="23"/>
      <c r="V90" s="1" t="s">
        <v>201</v>
      </c>
    </row>
    <row r="91" spans="1:22" x14ac:dyDescent="0.3">
      <c r="A91" s="6">
        <v>90</v>
      </c>
      <c r="B91" s="1" t="s">
        <v>21</v>
      </c>
      <c r="C91" s="1" t="s">
        <v>199</v>
      </c>
      <c r="D91" s="1" t="s">
        <v>209</v>
      </c>
      <c r="E91" s="1">
        <v>9700018058</v>
      </c>
      <c r="F91" s="8" t="s">
        <v>9</v>
      </c>
      <c r="G91" s="1" t="s">
        <v>24</v>
      </c>
      <c r="H91" s="1" t="s">
        <v>25</v>
      </c>
      <c r="I91" s="11">
        <v>46170</v>
      </c>
      <c r="J91" s="11">
        <v>46184</v>
      </c>
      <c r="K91" s="11">
        <v>46184</v>
      </c>
      <c r="L91" s="11">
        <v>46184</v>
      </c>
      <c r="M91" s="1" t="s">
        <v>26</v>
      </c>
      <c r="N91" s="6">
        <v>10</v>
      </c>
      <c r="O91" s="6">
        <v>10</v>
      </c>
      <c r="P91" s="12">
        <f t="shared" si="48"/>
        <v>46179</v>
      </c>
      <c r="Q91" s="12">
        <f t="shared" si="49"/>
        <v>46193</v>
      </c>
      <c r="R91" s="24">
        <f t="shared" si="50"/>
        <v>5</v>
      </c>
      <c r="S91" s="25">
        <f t="shared" si="51"/>
        <v>-9</v>
      </c>
      <c r="T91" s="23" t="str">
        <f t="shared" si="52"/>
        <v>To Paid</v>
      </c>
      <c r="U91" s="23"/>
      <c r="V91" s="1" t="s">
        <v>210</v>
      </c>
    </row>
    <row r="92" spans="1:22" x14ac:dyDescent="0.3">
      <c r="A92" s="6">
        <v>91</v>
      </c>
      <c r="B92" s="1" t="s">
        <v>21</v>
      </c>
      <c r="C92" s="1" t="s">
        <v>199</v>
      </c>
      <c r="D92" s="1" t="s">
        <v>211</v>
      </c>
      <c r="E92" s="1">
        <v>9700018058</v>
      </c>
      <c r="F92" s="8" t="s">
        <v>9</v>
      </c>
      <c r="G92" s="1" t="s">
        <v>24</v>
      </c>
      <c r="H92" s="1" t="s">
        <v>25</v>
      </c>
      <c r="I92" s="11">
        <v>46170</v>
      </c>
      <c r="J92" s="11">
        <v>46184</v>
      </c>
      <c r="K92" s="11">
        <v>46185</v>
      </c>
      <c r="L92" s="11">
        <v>46185</v>
      </c>
      <c r="M92" s="1" t="s">
        <v>26</v>
      </c>
      <c r="N92" s="6">
        <v>10</v>
      </c>
      <c r="O92" s="6">
        <v>10</v>
      </c>
      <c r="P92" s="12">
        <f t="shared" si="48"/>
        <v>46179</v>
      </c>
      <c r="Q92" s="12">
        <f t="shared" si="49"/>
        <v>46193</v>
      </c>
      <c r="R92" s="24">
        <f t="shared" si="50"/>
        <v>5</v>
      </c>
      <c r="S92" s="25">
        <f t="shared" si="51"/>
        <v>-8</v>
      </c>
      <c r="T92" s="23" t="str">
        <f t="shared" si="52"/>
        <v>To Paid</v>
      </c>
      <c r="U92" s="23"/>
      <c r="V92" s="1" t="s">
        <v>210</v>
      </c>
    </row>
    <row r="93" spans="1:22" x14ac:dyDescent="0.3">
      <c r="A93" s="6">
        <v>92</v>
      </c>
      <c r="B93" s="1" t="s">
        <v>21</v>
      </c>
      <c r="C93" s="1" t="s">
        <v>199</v>
      </c>
      <c r="D93" s="1" t="s">
        <v>212</v>
      </c>
      <c r="E93" s="1">
        <v>9700018058</v>
      </c>
      <c r="F93" s="8" t="s">
        <v>9</v>
      </c>
      <c r="G93" s="1" t="s">
        <v>24</v>
      </c>
      <c r="H93" s="1" t="s">
        <v>25</v>
      </c>
      <c r="I93" s="11">
        <v>46170</v>
      </c>
      <c r="J93" s="11">
        <v>46183</v>
      </c>
      <c r="K93" s="11">
        <v>46184</v>
      </c>
      <c r="L93" s="11">
        <v>46184</v>
      </c>
      <c r="M93" s="1" t="s">
        <v>26</v>
      </c>
      <c r="N93" s="6">
        <v>10</v>
      </c>
      <c r="O93" s="6">
        <v>10</v>
      </c>
      <c r="P93" s="12">
        <f t="shared" si="48"/>
        <v>46179</v>
      </c>
      <c r="Q93" s="12">
        <f t="shared" si="49"/>
        <v>46192</v>
      </c>
      <c r="R93" s="24">
        <f t="shared" si="50"/>
        <v>4</v>
      </c>
      <c r="S93" s="25">
        <f t="shared" si="51"/>
        <v>-8</v>
      </c>
      <c r="T93" s="23" t="str">
        <f t="shared" si="52"/>
        <v>To Paid</v>
      </c>
      <c r="U93" s="23"/>
      <c r="V93" s="1" t="s">
        <v>213</v>
      </c>
    </row>
    <row r="94" spans="1:22" x14ac:dyDescent="0.3">
      <c r="A94" s="6">
        <v>93</v>
      </c>
      <c r="B94" s="1" t="s">
        <v>21</v>
      </c>
      <c r="C94" s="1" t="s">
        <v>199</v>
      </c>
      <c r="D94" s="1" t="s">
        <v>214</v>
      </c>
      <c r="E94" s="1">
        <v>9700018058</v>
      </c>
      <c r="F94" s="8" t="s">
        <v>9</v>
      </c>
      <c r="G94" s="1" t="s">
        <v>24</v>
      </c>
      <c r="H94" s="1" t="s">
        <v>25</v>
      </c>
      <c r="I94" s="11">
        <v>46170</v>
      </c>
      <c r="J94" s="11">
        <v>46184</v>
      </c>
      <c r="K94" s="11">
        <v>46188</v>
      </c>
      <c r="L94" s="11">
        <v>46188</v>
      </c>
      <c r="M94" s="1" t="s">
        <v>26</v>
      </c>
      <c r="N94" s="6">
        <v>10</v>
      </c>
      <c r="O94" s="6">
        <v>10</v>
      </c>
      <c r="P94" s="12">
        <f t="shared" si="48"/>
        <v>46179</v>
      </c>
      <c r="Q94" s="12">
        <f t="shared" si="49"/>
        <v>46193</v>
      </c>
      <c r="R94" s="24">
        <f t="shared" si="50"/>
        <v>5</v>
      </c>
      <c r="S94" s="25">
        <f t="shared" si="51"/>
        <v>-5</v>
      </c>
      <c r="T94" s="23" t="str">
        <f t="shared" si="52"/>
        <v>To Paid</v>
      </c>
      <c r="U94" s="23"/>
      <c r="V94" s="1" t="s">
        <v>215</v>
      </c>
    </row>
    <row r="95" spans="1:22" x14ac:dyDescent="0.3">
      <c r="A95" s="6">
        <v>94</v>
      </c>
      <c r="B95" s="1" t="s">
        <v>21</v>
      </c>
      <c r="C95" s="1" t="s">
        <v>216</v>
      </c>
      <c r="D95" s="1" t="s">
        <v>217</v>
      </c>
      <c r="E95" s="1">
        <v>9700018074</v>
      </c>
      <c r="F95" s="8" t="s">
        <v>9</v>
      </c>
      <c r="G95" s="1" t="s">
        <v>24</v>
      </c>
      <c r="H95" s="1" t="s">
        <v>25</v>
      </c>
      <c r="I95" s="11">
        <v>46170</v>
      </c>
      <c r="J95" s="11">
        <v>46185</v>
      </c>
      <c r="K95" s="11">
        <v>46188</v>
      </c>
      <c r="L95" s="11">
        <v>46189</v>
      </c>
      <c r="M95" s="1" t="s">
        <v>26</v>
      </c>
      <c r="N95" s="6">
        <v>10</v>
      </c>
      <c r="O95" s="6">
        <v>10</v>
      </c>
      <c r="P95" s="12">
        <f t="shared" si="48"/>
        <v>46179</v>
      </c>
      <c r="Q95" s="12">
        <f t="shared" si="49"/>
        <v>46194</v>
      </c>
      <c r="R95" s="24">
        <f t="shared" si="50"/>
        <v>6</v>
      </c>
      <c r="S95" s="25">
        <f t="shared" si="51"/>
        <v>-5</v>
      </c>
      <c r="T95" s="23" t="str">
        <f t="shared" si="52"/>
        <v>To Paid</v>
      </c>
      <c r="U95" s="23"/>
      <c r="V95" s="1" t="s">
        <v>203</v>
      </c>
    </row>
    <row r="96" spans="1:22" x14ac:dyDescent="0.3">
      <c r="A96" s="6">
        <v>95</v>
      </c>
      <c r="B96" s="1" t="s">
        <v>21</v>
      </c>
      <c r="C96" s="1" t="s">
        <v>216</v>
      </c>
      <c r="D96" s="1" t="s">
        <v>218</v>
      </c>
      <c r="E96" s="1">
        <v>9700018074</v>
      </c>
      <c r="F96" s="8" t="s">
        <v>9</v>
      </c>
      <c r="G96" s="1" t="s">
        <v>24</v>
      </c>
      <c r="H96" s="1" t="s">
        <v>25</v>
      </c>
      <c r="I96" s="11">
        <v>46170</v>
      </c>
      <c r="J96" s="11">
        <v>46186</v>
      </c>
      <c r="K96" s="11">
        <v>46191</v>
      </c>
      <c r="L96" s="11">
        <v>46192</v>
      </c>
      <c r="M96" s="1" t="s">
        <v>26</v>
      </c>
      <c r="N96" s="6">
        <v>10</v>
      </c>
      <c r="O96" s="6">
        <v>10</v>
      </c>
      <c r="P96" s="12">
        <f t="shared" si="48"/>
        <v>46179</v>
      </c>
      <c r="Q96" s="12">
        <f t="shared" si="49"/>
        <v>46195</v>
      </c>
      <c r="R96" s="24">
        <f t="shared" si="50"/>
        <v>7</v>
      </c>
      <c r="S96" s="25">
        <f t="shared" si="51"/>
        <v>-3</v>
      </c>
      <c r="T96" s="23" t="str">
        <f t="shared" si="52"/>
        <v>To Paid</v>
      </c>
      <c r="U96" s="23"/>
      <c r="V96" s="1" t="s">
        <v>219</v>
      </c>
    </row>
    <row r="97" spans="1:22" x14ac:dyDescent="0.3">
      <c r="A97" s="6">
        <v>96</v>
      </c>
      <c r="B97" s="1" t="s">
        <v>21</v>
      </c>
      <c r="C97" s="1" t="s">
        <v>216</v>
      </c>
      <c r="D97" s="1" t="s">
        <v>220</v>
      </c>
      <c r="E97" s="1">
        <v>9700018074</v>
      </c>
      <c r="F97" s="8" t="s">
        <v>9</v>
      </c>
      <c r="G97" s="1" t="s">
        <v>24</v>
      </c>
      <c r="H97" s="1" t="s">
        <v>25</v>
      </c>
      <c r="I97" s="11">
        <v>46170</v>
      </c>
      <c r="J97" s="11">
        <v>46185</v>
      </c>
      <c r="K97" s="11">
        <v>46189</v>
      </c>
      <c r="L97" s="11">
        <v>46189</v>
      </c>
      <c r="M97" s="1" t="s">
        <v>26</v>
      </c>
      <c r="N97" s="6">
        <v>10</v>
      </c>
      <c r="O97" s="6">
        <v>10</v>
      </c>
      <c r="P97" s="12">
        <f t="shared" si="48"/>
        <v>46179</v>
      </c>
      <c r="Q97" s="12">
        <f t="shared" si="49"/>
        <v>46194</v>
      </c>
      <c r="R97" s="24">
        <f t="shared" si="50"/>
        <v>6</v>
      </c>
      <c r="S97" s="25">
        <f t="shared" si="51"/>
        <v>-5</v>
      </c>
      <c r="T97" s="23" t="str">
        <f t="shared" si="52"/>
        <v>To Paid</v>
      </c>
      <c r="U97" s="23"/>
      <c r="V97" s="1" t="s">
        <v>203</v>
      </c>
    </row>
    <row r="98" spans="1:22" x14ac:dyDescent="0.3">
      <c r="A98" s="6">
        <v>97</v>
      </c>
      <c r="B98" s="1" t="s">
        <v>21</v>
      </c>
      <c r="C98" s="1" t="s">
        <v>216</v>
      </c>
      <c r="D98" s="1" t="s">
        <v>221</v>
      </c>
      <c r="E98" s="1">
        <v>9700018074</v>
      </c>
      <c r="F98" s="8" t="s">
        <v>9</v>
      </c>
      <c r="G98" s="1" t="s">
        <v>24</v>
      </c>
      <c r="H98" s="1" t="s">
        <v>25</v>
      </c>
      <c r="I98" s="11">
        <v>46170</v>
      </c>
      <c r="J98" s="11">
        <v>46186</v>
      </c>
      <c r="K98" s="11">
        <v>46192</v>
      </c>
      <c r="L98" s="11">
        <v>46193</v>
      </c>
      <c r="M98" s="1" t="s">
        <v>26</v>
      </c>
      <c r="N98" s="6">
        <v>10</v>
      </c>
      <c r="O98" s="6">
        <v>10</v>
      </c>
      <c r="P98" s="12">
        <f t="shared" si="48"/>
        <v>46179</v>
      </c>
      <c r="Q98" s="12">
        <f t="shared" si="49"/>
        <v>46195</v>
      </c>
      <c r="R98" s="24">
        <f t="shared" si="50"/>
        <v>7</v>
      </c>
      <c r="S98" s="25">
        <f t="shared" si="51"/>
        <v>-2</v>
      </c>
      <c r="T98" s="23" t="str">
        <f t="shared" si="52"/>
        <v>To Paid</v>
      </c>
      <c r="U98" s="23"/>
      <c r="V98" s="1" t="s">
        <v>219</v>
      </c>
    </row>
    <row r="99" spans="1:22" x14ac:dyDescent="0.3">
      <c r="A99" s="6">
        <v>98</v>
      </c>
      <c r="B99" s="1" t="s">
        <v>21</v>
      </c>
      <c r="C99" s="1" t="s">
        <v>216</v>
      </c>
      <c r="D99" s="1" t="s">
        <v>222</v>
      </c>
      <c r="E99" s="1">
        <v>9700018074</v>
      </c>
      <c r="F99" s="8" t="s">
        <v>9</v>
      </c>
      <c r="G99" s="1" t="s">
        <v>24</v>
      </c>
      <c r="H99" s="1" t="s">
        <v>25</v>
      </c>
      <c r="I99" s="11">
        <v>46170</v>
      </c>
      <c r="J99" s="11">
        <v>46186</v>
      </c>
      <c r="K99" s="11">
        <v>46187</v>
      </c>
      <c r="L99" s="11">
        <v>46191</v>
      </c>
      <c r="M99" s="1" t="s">
        <v>26</v>
      </c>
      <c r="N99" s="6">
        <v>10</v>
      </c>
      <c r="O99" s="6">
        <v>10</v>
      </c>
      <c r="P99" s="12">
        <f t="shared" si="48"/>
        <v>46179</v>
      </c>
      <c r="Q99" s="12">
        <f t="shared" si="49"/>
        <v>46195</v>
      </c>
      <c r="R99" s="24">
        <f t="shared" si="50"/>
        <v>7</v>
      </c>
      <c r="S99" s="25">
        <f t="shared" si="51"/>
        <v>-4</v>
      </c>
      <c r="T99" s="23" t="str">
        <f t="shared" si="52"/>
        <v>To Paid</v>
      </c>
      <c r="U99" s="23"/>
      <c r="V99" s="1" t="s">
        <v>219</v>
      </c>
    </row>
    <row r="100" spans="1:22" x14ac:dyDescent="0.3">
      <c r="A100" s="6">
        <v>99</v>
      </c>
      <c r="B100" s="1" t="s">
        <v>21</v>
      </c>
      <c r="C100" s="1" t="s">
        <v>216</v>
      </c>
      <c r="D100" s="1" t="s">
        <v>223</v>
      </c>
      <c r="E100" s="1">
        <v>9700018074</v>
      </c>
      <c r="F100" s="8" t="s">
        <v>9</v>
      </c>
      <c r="G100" s="1" t="s">
        <v>24</v>
      </c>
      <c r="H100" s="1" t="s">
        <v>25</v>
      </c>
      <c r="I100" s="11">
        <v>46170</v>
      </c>
      <c r="J100" s="11">
        <v>46188</v>
      </c>
      <c r="K100" s="11">
        <v>46202</v>
      </c>
      <c r="L100" s="11">
        <v>46203</v>
      </c>
      <c r="M100" s="1" t="s">
        <v>26</v>
      </c>
      <c r="N100" s="6">
        <v>10</v>
      </c>
      <c r="O100" s="6">
        <v>10</v>
      </c>
      <c r="P100" s="12">
        <f t="shared" si="48"/>
        <v>46179</v>
      </c>
      <c r="Q100" s="12">
        <f t="shared" si="49"/>
        <v>46197</v>
      </c>
      <c r="R100" s="15">
        <f t="shared" si="50"/>
        <v>9</v>
      </c>
      <c r="S100" s="21">
        <f t="shared" si="51"/>
        <v>6</v>
      </c>
      <c r="T100" s="6" t="str">
        <f t="shared" si="52"/>
        <v>To Paid</v>
      </c>
      <c r="U100" s="6"/>
      <c r="V100" s="9" t="s">
        <v>224</v>
      </c>
    </row>
    <row r="101" spans="1:22" x14ac:dyDescent="0.3">
      <c r="A101" s="6">
        <v>100</v>
      </c>
      <c r="B101" s="1" t="s">
        <v>21</v>
      </c>
      <c r="C101" s="1" t="s">
        <v>216</v>
      </c>
      <c r="D101" s="1" t="s">
        <v>225</v>
      </c>
      <c r="E101" s="1">
        <v>9700018074</v>
      </c>
      <c r="F101" s="8" t="s">
        <v>9</v>
      </c>
      <c r="G101" s="1" t="s">
        <v>24</v>
      </c>
      <c r="H101" s="1" t="s">
        <v>25</v>
      </c>
      <c r="I101" s="11">
        <v>46170</v>
      </c>
      <c r="J101" s="11">
        <v>46188</v>
      </c>
      <c r="K101" s="11">
        <v>46196</v>
      </c>
      <c r="L101" s="11">
        <v>46197</v>
      </c>
      <c r="M101" s="1" t="s">
        <v>26</v>
      </c>
      <c r="N101" s="6">
        <v>10</v>
      </c>
      <c r="O101" s="6">
        <v>10</v>
      </c>
      <c r="P101" s="12">
        <f t="shared" si="48"/>
        <v>46179</v>
      </c>
      <c r="Q101" s="12">
        <f t="shared" si="49"/>
        <v>46197</v>
      </c>
      <c r="R101" s="24">
        <f t="shared" si="50"/>
        <v>9</v>
      </c>
      <c r="S101" s="25">
        <f t="shared" si="51"/>
        <v>0</v>
      </c>
      <c r="T101" s="23" t="str">
        <f t="shared" si="52"/>
        <v>To Paid</v>
      </c>
      <c r="U101" s="23"/>
      <c r="V101" s="1" t="s">
        <v>226</v>
      </c>
    </row>
    <row r="102" spans="1:22" x14ac:dyDescent="0.3">
      <c r="A102" s="6">
        <v>101</v>
      </c>
      <c r="B102" s="1" t="s">
        <v>21</v>
      </c>
      <c r="C102" s="1" t="s">
        <v>216</v>
      </c>
      <c r="D102" s="1" t="s">
        <v>227</v>
      </c>
      <c r="E102" s="1">
        <v>9700018074</v>
      </c>
      <c r="F102" s="8" t="s">
        <v>9</v>
      </c>
      <c r="G102" s="1" t="s">
        <v>24</v>
      </c>
      <c r="H102" s="1" t="s">
        <v>25</v>
      </c>
      <c r="I102" s="11">
        <v>46170</v>
      </c>
      <c r="J102" s="11">
        <v>46188</v>
      </c>
      <c r="K102" s="11">
        <v>46192</v>
      </c>
      <c r="L102" s="11">
        <v>46193</v>
      </c>
      <c r="M102" s="1" t="s">
        <v>26</v>
      </c>
      <c r="N102" s="6">
        <v>10</v>
      </c>
      <c r="O102" s="6">
        <v>10</v>
      </c>
      <c r="P102" s="12">
        <f t="shared" si="48"/>
        <v>46179</v>
      </c>
      <c r="Q102" s="12">
        <f t="shared" si="49"/>
        <v>46197</v>
      </c>
      <c r="R102" s="24">
        <f t="shared" si="50"/>
        <v>9</v>
      </c>
      <c r="S102" s="25">
        <f t="shared" si="51"/>
        <v>-4</v>
      </c>
      <c r="T102" s="23" t="str">
        <f t="shared" si="52"/>
        <v>To Paid</v>
      </c>
      <c r="U102" s="23"/>
      <c r="V102" s="1" t="s">
        <v>228</v>
      </c>
    </row>
    <row r="103" spans="1:22" x14ac:dyDescent="0.3">
      <c r="A103" s="6">
        <v>102</v>
      </c>
      <c r="B103" s="1" t="s">
        <v>21</v>
      </c>
      <c r="C103" s="1" t="s">
        <v>216</v>
      </c>
      <c r="D103" s="1" t="s">
        <v>229</v>
      </c>
      <c r="E103" s="1">
        <v>9700018074</v>
      </c>
      <c r="F103" s="8" t="s">
        <v>9</v>
      </c>
      <c r="G103" s="1" t="s">
        <v>24</v>
      </c>
      <c r="H103" s="1" t="s">
        <v>25</v>
      </c>
      <c r="I103" s="11">
        <v>46170</v>
      </c>
      <c r="J103" s="11">
        <v>46189</v>
      </c>
      <c r="K103" s="11">
        <v>46198</v>
      </c>
      <c r="L103" s="11">
        <v>46199</v>
      </c>
      <c r="M103" s="1" t="s">
        <v>26</v>
      </c>
      <c r="N103" s="6">
        <v>10</v>
      </c>
      <c r="O103" s="6">
        <v>10</v>
      </c>
      <c r="P103" s="12">
        <f t="shared" si="48"/>
        <v>46179</v>
      </c>
      <c r="Q103" s="12">
        <f t="shared" si="49"/>
        <v>46198</v>
      </c>
      <c r="R103" s="24">
        <f t="shared" si="50"/>
        <v>10</v>
      </c>
      <c r="S103" s="25">
        <f t="shared" si="51"/>
        <v>1</v>
      </c>
      <c r="T103" s="23" t="str">
        <f t="shared" si="52"/>
        <v>To Paid</v>
      </c>
      <c r="U103" s="23"/>
      <c r="V103" s="1" t="s">
        <v>230</v>
      </c>
    </row>
    <row r="104" spans="1:22" x14ac:dyDescent="0.3">
      <c r="A104" s="6">
        <v>103</v>
      </c>
      <c r="B104" s="1" t="s">
        <v>21</v>
      </c>
      <c r="C104" s="1" t="s">
        <v>216</v>
      </c>
      <c r="D104" s="1" t="s">
        <v>231</v>
      </c>
      <c r="E104" s="1">
        <v>9700018074</v>
      </c>
      <c r="F104" s="8" t="s">
        <v>9</v>
      </c>
      <c r="G104" s="1" t="s">
        <v>24</v>
      </c>
      <c r="H104" s="1" t="s">
        <v>25</v>
      </c>
      <c r="I104" s="11">
        <v>46170</v>
      </c>
      <c r="J104" s="11">
        <v>46188</v>
      </c>
      <c r="K104" s="11">
        <v>46191</v>
      </c>
      <c r="L104" s="11">
        <v>46192</v>
      </c>
      <c r="M104" s="1" t="s">
        <v>26</v>
      </c>
      <c r="N104" s="6">
        <v>10</v>
      </c>
      <c r="O104" s="6">
        <v>10</v>
      </c>
      <c r="P104" s="12">
        <f t="shared" si="48"/>
        <v>46179</v>
      </c>
      <c r="Q104" s="12">
        <f t="shared" si="49"/>
        <v>46197</v>
      </c>
      <c r="R104" s="24">
        <f t="shared" si="50"/>
        <v>9</v>
      </c>
      <c r="S104" s="25">
        <f t="shared" si="51"/>
        <v>-5</v>
      </c>
      <c r="T104" s="23" t="str">
        <f t="shared" si="52"/>
        <v>To Paid</v>
      </c>
      <c r="U104" s="23"/>
      <c r="V104" s="1" t="s">
        <v>226</v>
      </c>
    </row>
    <row r="105" spans="1:22" x14ac:dyDescent="0.3">
      <c r="A105" s="6">
        <v>104</v>
      </c>
      <c r="B105" s="1" t="s">
        <v>21</v>
      </c>
      <c r="C105" s="1" t="s">
        <v>216</v>
      </c>
      <c r="D105" s="1" t="s">
        <v>232</v>
      </c>
      <c r="E105" s="1">
        <v>9700018074</v>
      </c>
      <c r="F105" s="8" t="s">
        <v>9</v>
      </c>
      <c r="G105" s="1" t="s">
        <v>24</v>
      </c>
      <c r="H105" s="1" t="s">
        <v>25</v>
      </c>
      <c r="I105" s="11">
        <v>46170</v>
      </c>
      <c r="J105" s="11">
        <v>46188</v>
      </c>
      <c r="K105" s="11">
        <v>46190</v>
      </c>
      <c r="L105" s="11">
        <v>46190</v>
      </c>
      <c r="M105" s="1" t="s">
        <v>26</v>
      </c>
      <c r="N105" s="6">
        <v>10</v>
      </c>
      <c r="O105" s="6">
        <v>10</v>
      </c>
      <c r="P105" s="12">
        <f t="shared" si="48"/>
        <v>46179</v>
      </c>
      <c r="Q105" s="12">
        <f t="shared" si="49"/>
        <v>46197</v>
      </c>
      <c r="R105" s="24">
        <f t="shared" si="50"/>
        <v>9</v>
      </c>
      <c r="S105" s="25">
        <f t="shared" si="51"/>
        <v>-7</v>
      </c>
      <c r="T105" s="23" t="str">
        <f t="shared" si="52"/>
        <v>To Paid</v>
      </c>
      <c r="U105" s="23"/>
      <c r="V105" s="1" t="s">
        <v>226</v>
      </c>
    </row>
    <row r="106" spans="1:22" x14ac:dyDescent="0.3">
      <c r="A106" s="6">
        <v>105</v>
      </c>
      <c r="B106" s="1" t="s">
        <v>21</v>
      </c>
      <c r="C106" s="1" t="s">
        <v>216</v>
      </c>
      <c r="D106" s="1" t="s">
        <v>233</v>
      </c>
      <c r="E106" s="1">
        <v>9700018074</v>
      </c>
      <c r="F106" s="8" t="s">
        <v>9</v>
      </c>
      <c r="G106" s="1" t="s">
        <v>24</v>
      </c>
      <c r="H106" s="1" t="s">
        <v>25</v>
      </c>
      <c r="I106" s="11">
        <v>46170</v>
      </c>
      <c r="J106" s="11">
        <v>46189</v>
      </c>
      <c r="K106" s="11">
        <v>46196</v>
      </c>
      <c r="L106" s="11">
        <v>46197</v>
      </c>
      <c r="M106" s="1" t="s">
        <v>26</v>
      </c>
      <c r="N106" s="6">
        <v>10</v>
      </c>
      <c r="O106" s="6">
        <v>10</v>
      </c>
      <c r="P106" s="12">
        <f t="shared" si="48"/>
        <v>46179</v>
      </c>
      <c r="Q106" s="12">
        <f t="shared" si="49"/>
        <v>46198</v>
      </c>
      <c r="R106" s="24">
        <f t="shared" si="50"/>
        <v>10</v>
      </c>
      <c r="S106" s="25">
        <f t="shared" si="51"/>
        <v>-1</v>
      </c>
      <c r="T106" s="23" t="str">
        <f t="shared" si="52"/>
        <v>To Paid</v>
      </c>
      <c r="U106" s="23"/>
      <c r="V106" s="1" t="s">
        <v>230</v>
      </c>
    </row>
    <row r="107" spans="1:22" x14ac:dyDescent="0.3">
      <c r="A107" s="6">
        <v>106</v>
      </c>
      <c r="B107" s="1" t="s">
        <v>143</v>
      </c>
      <c r="C107" s="1" t="s">
        <v>234</v>
      </c>
      <c r="D107" s="1" t="s">
        <v>235</v>
      </c>
      <c r="E107" s="1">
        <v>1510002693</v>
      </c>
      <c r="F107" s="8" t="s">
        <v>9</v>
      </c>
      <c r="G107" s="1" t="s">
        <v>236</v>
      </c>
      <c r="H107" s="1" t="s">
        <v>66</v>
      </c>
      <c r="I107" s="11">
        <v>46132</v>
      </c>
      <c r="J107" s="11">
        <v>46137</v>
      </c>
      <c r="K107" s="11">
        <v>46139</v>
      </c>
      <c r="L107" s="11">
        <v>46139</v>
      </c>
      <c r="M107" s="1" t="s">
        <v>32</v>
      </c>
      <c r="N107" s="6">
        <v>20</v>
      </c>
      <c r="O107" s="6">
        <v>15</v>
      </c>
      <c r="P107" s="12">
        <f t="shared" si="48"/>
        <v>46151</v>
      </c>
      <c r="Q107" s="11">
        <f>J107+O107-1</f>
        <v>46151</v>
      </c>
      <c r="R107" s="24">
        <f>J107-P107</f>
        <v>-14</v>
      </c>
      <c r="S107" s="25">
        <f>L107-Q107</f>
        <v>-12</v>
      </c>
      <c r="T107" s="23" t="str">
        <f t="shared" ref="T107" si="53">IF(R107&gt;0,"To Paid","No")</f>
        <v>No</v>
      </c>
      <c r="U107" s="23"/>
      <c r="V107" s="1" t="s">
        <v>50</v>
      </c>
    </row>
    <row r="108" spans="1:22" ht="28.8" x14ac:dyDescent="0.3">
      <c r="A108" s="6">
        <v>107</v>
      </c>
      <c r="B108" s="1" t="s">
        <v>143</v>
      </c>
      <c r="C108" s="1" t="s">
        <v>237</v>
      </c>
      <c r="D108" s="1" t="s">
        <v>238</v>
      </c>
      <c r="E108" s="1">
        <v>1510003132</v>
      </c>
      <c r="F108" s="8" t="s">
        <v>9</v>
      </c>
      <c r="G108" s="1" t="s">
        <v>239</v>
      </c>
      <c r="H108" s="1" t="s">
        <v>240</v>
      </c>
      <c r="I108" s="12">
        <v>46176</v>
      </c>
      <c r="J108" s="12">
        <v>46185</v>
      </c>
      <c r="K108" s="12">
        <v>46188</v>
      </c>
      <c r="L108" s="12">
        <v>46189</v>
      </c>
      <c r="M108" s="1" t="s">
        <v>32</v>
      </c>
      <c r="N108" s="6"/>
      <c r="O108" s="6"/>
      <c r="P108" s="12"/>
      <c r="Q108" s="12"/>
      <c r="R108" s="24"/>
      <c r="S108" s="25"/>
      <c r="T108" s="23" t="str">
        <f t="shared" si="52"/>
        <v>No</v>
      </c>
      <c r="U108" s="23"/>
      <c r="V108" s="9" t="s">
        <v>241</v>
      </c>
    </row>
    <row r="109" spans="1:22" x14ac:dyDescent="0.3">
      <c r="A109" s="6">
        <v>108</v>
      </c>
      <c r="B109" s="1" t="s">
        <v>143</v>
      </c>
      <c r="C109" s="1" t="s">
        <v>242</v>
      </c>
      <c r="D109" s="1" t="s">
        <v>243</v>
      </c>
      <c r="E109" s="1">
        <v>1510002787</v>
      </c>
      <c r="F109" s="8" t="s">
        <v>9</v>
      </c>
      <c r="G109" s="1" t="s">
        <v>236</v>
      </c>
      <c r="H109" s="1" t="s">
        <v>55</v>
      </c>
      <c r="I109" s="11">
        <v>46170</v>
      </c>
      <c r="J109" s="11">
        <v>46176</v>
      </c>
      <c r="K109" s="11">
        <v>46177</v>
      </c>
      <c r="L109" s="11">
        <v>46177</v>
      </c>
      <c r="M109" s="1" t="s">
        <v>32</v>
      </c>
      <c r="N109" s="6">
        <v>20</v>
      </c>
      <c r="O109" s="6">
        <v>15</v>
      </c>
      <c r="P109" s="12">
        <f t="shared" ref="P109:P110" si="54">I109+N109-1</f>
        <v>46189</v>
      </c>
      <c r="Q109" s="11">
        <f t="shared" ref="Q109:Q120" si="55">J109+O109-1</f>
        <v>46190</v>
      </c>
      <c r="R109" s="24">
        <f t="shared" ref="R109:R120" si="56">J109-P109</f>
        <v>-13</v>
      </c>
      <c r="S109" s="25">
        <f t="shared" ref="S109:S120" si="57">L109-Q109</f>
        <v>-13</v>
      </c>
      <c r="T109" s="23" t="str">
        <f t="shared" si="52"/>
        <v>No</v>
      </c>
      <c r="U109" s="23"/>
      <c r="V109" s="1" t="s">
        <v>244</v>
      </c>
    </row>
    <row r="110" spans="1:22" ht="28.8" x14ac:dyDescent="0.3">
      <c r="A110" s="6">
        <v>109</v>
      </c>
      <c r="B110" s="1" t="s">
        <v>143</v>
      </c>
      <c r="C110" s="1" t="s">
        <v>245</v>
      </c>
      <c r="D110" s="1" t="s">
        <v>246</v>
      </c>
      <c r="E110" s="1">
        <v>1510002788</v>
      </c>
      <c r="F110" s="8" t="s">
        <v>9</v>
      </c>
      <c r="G110" s="1" t="s">
        <v>236</v>
      </c>
      <c r="H110" s="1" t="s">
        <v>55</v>
      </c>
      <c r="I110" s="12">
        <v>46181</v>
      </c>
      <c r="J110" s="12">
        <v>46184</v>
      </c>
      <c r="K110" s="12">
        <v>46184</v>
      </c>
      <c r="L110" s="12">
        <v>46184</v>
      </c>
      <c r="M110" s="1" t="s">
        <v>32</v>
      </c>
      <c r="N110" s="6">
        <v>20</v>
      </c>
      <c r="O110" s="6">
        <v>15</v>
      </c>
      <c r="P110" s="12">
        <f t="shared" si="54"/>
        <v>46200</v>
      </c>
      <c r="Q110" s="11">
        <f t="shared" si="55"/>
        <v>46198</v>
      </c>
      <c r="R110" s="24">
        <f t="shared" si="56"/>
        <v>-16</v>
      </c>
      <c r="S110" s="25">
        <f t="shared" si="57"/>
        <v>-14</v>
      </c>
      <c r="T110" s="23" t="str">
        <f t="shared" si="52"/>
        <v>No</v>
      </c>
      <c r="U110" s="23"/>
      <c r="V110" s="9" t="s">
        <v>247</v>
      </c>
    </row>
    <row r="111" spans="1:22" x14ac:dyDescent="0.3">
      <c r="A111" s="6">
        <v>110</v>
      </c>
      <c r="B111" s="1" t="s">
        <v>143</v>
      </c>
      <c r="C111" s="1" t="s">
        <v>248</v>
      </c>
      <c r="D111" s="1" t="s">
        <v>249</v>
      </c>
      <c r="E111" s="1">
        <v>1510002716</v>
      </c>
      <c r="F111" s="8" t="s">
        <v>9</v>
      </c>
      <c r="G111" s="1" t="s">
        <v>250</v>
      </c>
      <c r="H111" s="1" t="s">
        <v>25</v>
      </c>
      <c r="I111" s="11">
        <v>46155</v>
      </c>
      <c r="J111" s="11">
        <v>46184</v>
      </c>
      <c r="K111" s="11">
        <v>46189</v>
      </c>
      <c r="L111" s="11">
        <v>46189</v>
      </c>
      <c r="M111" s="1" t="s">
        <v>32</v>
      </c>
      <c r="N111" s="6">
        <v>20</v>
      </c>
      <c r="O111" s="6">
        <v>15</v>
      </c>
      <c r="P111" s="12">
        <f t="shared" ref="P111:P119" si="58">I111+N111-1</f>
        <v>46174</v>
      </c>
      <c r="Q111" s="11">
        <f t="shared" si="55"/>
        <v>46198</v>
      </c>
      <c r="R111" s="24">
        <f t="shared" si="56"/>
        <v>10</v>
      </c>
      <c r="S111" s="25">
        <f t="shared" si="57"/>
        <v>-9</v>
      </c>
      <c r="T111" s="23" t="str">
        <f t="shared" ref="T111:T119" si="59">IF(R111&gt;0,"To Paid","No")</f>
        <v>To Paid</v>
      </c>
      <c r="U111" s="23"/>
      <c r="V111" s="1" t="s">
        <v>251</v>
      </c>
    </row>
    <row r="112" spans="1:22" x14ac:dyDescent="0.3">
      <c r="A112" s="6">
        <v>111</v>
      </c>
      <c r="B112" s="1" t="s">
        <v>62</v>
      </c>
      <c r="C112" s="1" t="s">
        <v>252</v>
      </c>
      <c r="D112" s="1" t="s">
        <v>253</v>
      </c>
      <c r="E112" s="1">
        <v>1510002635</v>
      </c>
      <c r="F112" s="8" t="s">
        <v>9</v>
      </c>
      <c r="G112" s="1" t="s">
        <v>65</v>
      </c>
      <c r="H112" s="1" t="s">
        <v>66</v>
      </c>
      <c r="I112" s="11">
        <v>46196</v>
      </c>
      <c r="J112" s="11">
        <v>46199</v>
      </c>
      <c r="K112" s="11">
        <v>46200</v>
      </c>
      <c r="L112" s="11">
        <v>46200</v>
      </c>
      <c r="M112" s="1" t="s">
        <v>32</v>
      </c>
      <c r="N112" s="6">
        <v>20</v>
      </c>
      <c r="O112" s="6">
        <v>15</v>
      </c>
      <c r="P112" s="12">
        <f t="shared" si="58"/>
        <v>46215</v>
      </c>
      <c r="Q112" s="11">
        <f t="shared" si="55"/>
        <v>46213</v>
      </c>
      <c r="R112" s="24">
        <f t="shared" si="56"/>
        <v>-16</v>
      </c>
      <c r="S112" s="25">
        <f t="shared" si="57"/>
        <v>-13</v>
      </c>
      <c r="T112" s="23" t="str">
        <f t="shared" si="59"/>
        <v>No</v>
      </c>
      <c r="U112" s="23"/>
      <c r="V112" s="1" t="s">
        <v>254</v>
      </c>
    </row>
    <row r="113" spans="1:22" x14ac:dyDescent="0.3">
      <c r="A113" s="6">
        <v>112</v>
      </c>
      <c r="B113" s="1" t="s">
        <v>62</v>
      </c>
      <c r="C113" s="1" t="s">
        <v>252</v>
      </c>
      <c r="D113" s="1" t="s">
        <v>255</v>
      </c>
      <c r="E113" s="1">
        <v>1510002635</v>
      </c>
      <c r="F113" s="8" t="s">
        <v>9</v>
      </c>
      <c r="G113" s="1" t="s">
        <v>65</v>
      </c>
      <c r="H113" s="1" t="s">
        <v>66</v>
      </c>
      <c r="I113" s="11">
        <v>46196</v>
      </c>
      <c r="J113" s="11">
        <v>46199</v>
      </c>
      <c r="K113" s="11">
        <v>46200</v>
      </c>
      <c r="L113" s="11">
        <v>46202</v>
      </c>
      <c r="M113" s="1" t="s">
        <v>32</v>
      </c>
      <c r="N113" s="6">
        <v>20</v>
      </c>
      <c r="O113" s="6">
        <v>15</v>
      </c>
      <c r="P113" s="12">
        <f t="shared" si="58"/>
        <v>46215</v>
      </c>
      <c r="Q113" s="11">
        <f t="shared" si="55"/>
        <v>46213</v>
      </c>
      <c r="R113" s="24">
        <f t="shared" si="56"/>
        <v>-16</v>
      </c>
      <c r="S113" s="25">
        <f t="shared" si="57"/>
        <v>-11</v>
      </c>
      <c r="T113" s="23" t="str">
        <f t="shared" si="59"/>
        <v>No</v>
      </c>
      <c r="U113" s="23"/>
      <c r="V113" s="1" t="s">
        <v>254</v>
      </c>
    </row>
    <row r="114" spans="1:22" x14ac:dyDescent="0.3">
      <c r="A114" s="6">
        <v>113</v>
      </c>
      <c r="B114" s="1" t="s">
        <v>62</v>
      </c>
      <c r="C114" s="1" t="s">
        <v>252</v>
      </c>
      <c r="D114" s="1" t="s">
        <v>256</v>
      </c>
      <c r="E114" s="1">
        <v>1510002635</v>
      </c>
      <c r="F114" s="8" t="s">
        <v>9</v>
      </c>
      <c r="G114" s="1" t="s">
        <v>65</v>
      </c>
      <c r="H114" s="1" t="s">
        <v>66</v>
      </c>
      <c r="I114" s="11">
        <v>46196</v>
      </c>
      <c r="J114" s="11">
        <v>46199</v>
      </c>
      <c r="K114" s="11">
        <v>46204</v>
      </c>
      <c r="L114" s="11">
        <v>46205</v>
      </c>
      <c r="M114" s="1" t="s">
        <v>32</v>
      </c>
      <c r="N114" s="6">
        <v>20</v>
      </c>
      <c r="O114" s="6">
        <v>15</v>
      </c>
      <c r="P114" s="12">
        <f t="shared" si="58"/>
        <v>46215</v>
      </c>
      <c r="Q114" s="11">
        <f t="shared" si="55"/>
        <v>46213</v>
      </c>
      <c r="R114" s="24">
        <f t="shared" si="56"/>
        <v>-16</v>
      </c>
      <c r="S114" s="25">
        <f t="shared" si="57"/>
        <v>-8</v>
      </c>
      <c r="T114" s="23" t="str">
        <f t="shared" si="59"/>
        <v>No</v>
      </c>
      <c r="U114" s="23"/>
      <c r="V114" s="1" t="s">
        <v>254</v>
      </c>
    </row>
    <row r="115" spans="1:22" x14ac:dyDescent="0.3">
      <c r="A115" s="6">
        <v>114</v>
      </c>
      <c r="B115" s="1" t="s">
        <v>62</v>
      </c>
      <c r="C115" s="1" t="s">
        <v>252</v>
      </c>
      <c r="D115" s="1" t="s">
        <v>257</v>
      </c>
      <c r="E115" s="1">
        <v>1510002635</v>
      </c>
      <c r="F115" s="8" t="s">
        <v>9</v>
      </c>
      <c r="G115" s="1" t="s">
        <v>65</v>
      </c>
      <c r="H115" s="1" t="s">
        <v>66</v>
      </c>
      <c r="I115" s="11">
        <v>46196</v>
      </c>
      <c r="J115" s="11">
        <v>46199</v>
      </c>
      <c r="K115" s="11">
        <v>46203</v>
      </c>
      <c r="L115" s="11">
        <v>46204</v>
      </c>
      <c r="M115" s="1" t="s">
        <v>32</v>
      </c>
      <c r="N115" s="6">
        <v>20</v>
      </c>
      <c r="O115" s="6">
        <v>15</v>
      </c>
      <c r="P115" s="12">
        <f t="shared" si="58"/>
        <v>46215</v>
      </c>
      <c r="Q115" s="11">
        <f t="shared" si="55"/>
        <v>46213</v>
      </c>
      <c r="R115" s="24">
        <f t="shared" si="56"/>
        <v>-16</v>
      </c>
      <c r="S115" s="25">
        <f t="shared" si="57"/>
        <v>-9</v>
      </c>
      <c r="T115" s="23" t="str">
        <f t="shared" si="59"/>
        <v>No</v>
      </c>
      <c r="U115" s="23"/>
      <c r="V115" s="1" t="s">
        <v>254</v>
      </c>
    </row>
    <row r="116" spans="1:22" x14ac:dyDescent="0.3">
      <c r="A116" s="6">
        <v>115</v>
      </c>
      <c r="B116" s="1" t="s">
        <v>62</v>
      </c>
      <c r="C116" s="1" t="s">
        <v>258</v>
      </c>
      <c r="D116" s="1" t="s">
        <v>259</v>
      </c>
      <c r="E116" s="1">
        <v>1510002637</v>
      </c>
      <c r="F116" s="8" t="s">
        <v>9</v>
      </c>
      <c r="G116" s="1" t="s">
        <v>65</v>
      </c>
      <c r="H116" s="1" t="s">
        <v>66</v>
      </c>
      <c r="I116" s="11">
        <v>46194</v>
      </c>
      <c r="J116" s="11">
        <v>46200</v>
      </c>
      <c r="K116" s="11">
        <v>46203</v>
      </c>
      <c r="L116" s="11">
        <v>46204</v>
      </c>
      <c r="M116" s="1" t="s">
        <v>32</v>
      </c>
      <c r="N116" s="6">
        <v>20</v>
      </c>
      <c r="O116" s="6">
        <v>15</v>
      </c>
      <c r="P116" s="12">
        <f t="shared" si="58"/>
        <v>46213</v>
      </c>
      <c r="Q116" s="11">
        <f t="shared" si="55"/>
        <v>46214</v>
      </c>
      <c r="R116" s="24">
        <f t="shared" si="56"/>
        <v>-13</v>
      </c>
      <c r="S116" s="25">
        <f t="shared" si="57"/>
        <v>-10</v>
      </c>
      <c r="T116" s="23" t="str">
        <f t="shared" si="59"/>
        <v>No</v>
      </c>
      <c r="U116" s="23"/>
      <c r="V116" s="1" t="s">
        <v>260</v>
      </c>
    </row>
    <row r="117" spans="1:22" x14ac:dyDescent="0.3">
      <c r="A117" s="6">
        <v>116</v>
      </c>
      <c r="B117" s="1" t="s">
        <v>62</v>
      </c>
      <c r="C117" s="1" t="s">
        <v>258</v>
      </c>
      <c r="D117" s="1" t="s">
        <v>261</v>
      </c>
      <c r="E117" s="1">
        <v>1510002637</v>
      </c>
      <c r="F117" s="8" t="s">
        <v>9</v>
      </c>
      <c r="G117" s="1" t="s">
        <v>65</v>
      </c>
      <c r="H117" s="1" t="s">
        <v>66</v>
      </c>
      <c r="I117" s="11">
        <v>46196</v>
      </c>
      <c r="J117" s="11">
        <v>46200</v>
      </c>
      <c r="K117" s="11">
        <v>46206</v>
      </c>
      <c r="L117" s="11">
        <v>46206</v>
      </c>
      <c r="M117" s="1" t="s">
        <v>32</v>
      </c>
      <c r="N117" s="6">
        <v>20</v>
      </c>
      <c r="O117" s="6">
        <v>15</v>
      </c>
      <c r="P117" s="12">
        <f t="shared" si="58"/>
        <v>46215</v>
      </c>
      <c r="Q117" s="11">
        <f t="shared" si="55"/>
        <v>46214</v>
      </c>
      <c r="R117" s="24">
        <f t="shared" si="56"/>
        <v>-15</v>
      </c>
      <c r="S117" s="25">
        <f t="shared" si="57"/>
        <v>-8</v>
      </c>
      <c r="T117" s="23" t="str">
        <f t="shared" si="59"/>
        <v>No</v>
      </c>
      <c r="U117" s="23"/>
      <c r="V117" s="1" t="s">
        <v>260</v>
      </c>
    </row>
    <row r="118" spans="1:22" x14ac:dyDescent="0.3">
      <c r="A118" s="6">
        <v>117</v>
      </c>
      <c r="B118" s="1" t="s">
        <v>62</v>
      </c>
      <c r="C118" s="1" t="s">
        <v>258</v>
      </c>
      <c r="D118" s="1" t="s">
        <v>262</v>
      </c>
      <c r="E118" s="1">
        <v>1510002637</v>
      </c>
      <c r="F118" s="8" t="s">
        <v>9</v>
      </c>
      <c r="G118" s="1" t="s">
        <v>65</v>
      </c>
      <c r="H118" s="1" t="s">
        <v>66</v>
      </c>
      <c r="I118" s="11">
        <v>46196</v>
      </c>
      <c r="J118" s="11">
        <v>46200</v>
      </c>
      <c r="K118" s="11">
        <v>46204</v>
      </c>
      <c r="L118" s="11">
        <v>46205</v>
      </c>
      <c r="M118" s="1" t="s">
        <v>32</v>
      </c>
      <c r="N118" s="6">
        <v>20</v>
      </c>
      <c r="O118" s="6">
        <v>15</v>
      </c>
      <c r="P118" s="12">
        <f t="shared" si="58"/>
        <v>46215</v>
      </c>
      <c r="Q118" s="11">
        <f t="shared" si="55"/>
        <v>46214</v>
      </c>
      <c r="R118" s="24">
        <f t="shared" si="56"/>
        <v>-15</v>
      </c>
      <c r="S118" s="25">
        <f t="shared" si="57"/>
        <v>-9</v>
      </c>
      <c r="T118" s="23" t="str">
        <f t="shared" si="59"/>
        <v>No</v>
      </c>
      <c r="U118" s="23"/>
      <c r="V118" s="1" t="s">
        <v>260</v>
      </c>
    </row>
    <row r="119" spans="1:22" x14ac:dyDescent="0.3">
      <c r="A119" s="6">
        <v>118</v>
      </c>
      <c r="B119" s="1" t="s">
        <v>62</v>
      </c>
      <c r="C119" s="1" t="s">
        <v>258</v>
      </c>
      <c r="D119" s="1" t="s">
        <v>263</v>
      </c>
      <c r="E119" s="1">
        <v>1510002637</v>
      </c>
      <c r="F119" s="8" t="s">
        <v>9</v>
      </c>
      <c r="G119" s="1" t="s">
        <v>65</v>
      </c>
      <c r="H119" s="1" t="s">
        <v>66</v>
      </c>
      <c r="I119" s="11">
        <v>46196</v>
      </c>
      <c r="J119" s="11">
        <v>46200</v>
      </c>
      <c r="K119" s="11">
        <v>46206</v>
      </c>
      <c r="L119" s="11">
        <v>46206</v>
      </c>
      <c r="M119" s="1" t="s">
        <v>32</v>
      </c>
      <c r="N119" s="6">
        <v>20</v>
      </c>
      <c r="O119" s="6">
        <v>15</v>
      </c>
      <c r="P119" s="12">
        <f t="shared" si="58"/>
        <v>46215</v>
      </c>
      <c r="Q119" s="11">
        <f t="shared" si="55"/>
        <v>46214</v>
      </c>
      <c r="R119" s="24">
        <f t="shared" si="56"/>
        <v>-15</v>
      </c>
      <c r="S119" s="25">
        <f t="shared" si="57"/>
        <v>-8</v>
      </c>
      <c r="T119" s="23" t="str">
        <f t="shared" si="59"/>
        <v>No</v>
      </c>
      <c r="U119" s="23"/>
      <c r="V119" s="1" t="s">
        <v>260</v>
      </c>
    </row>
    <row r="120" spans="1:22" ht="28.8" x14ac:dyDescent="0.3">
      <c r="A120" s="6">
        <v>119</v>
      </c>
      <c r="B120" s="1" t="s">
        <v>21</v>
      </c>
      <c r="C120" s="1" t="s">
        <v>264</v>
      </c>
      <c r="D120" s="1" t="s">
        <v>265</v>
      </c>
      <c r="E120" s="1">
        <v>9700018144</v>
      </c>
      <c r="F120" s="8" t="s">
        <v>9</v>
      </c>
      <c r="G120" s="1" t="s">
        <v>24</v>
      </c>
      <c r="H120" s="1" t="s">
        <v>25</v>
      </c>
      <c r="I120" s="12">
        <v>46183</v>
      </c>
      <c r="J120" s="12">
        <v>46191</v>
      </c>
      <c r="K120" s="12">
        <v>46191</v>
      </c>
      <c r="L120" s="12">
        <v>46192</v>
      </c>
      <c r="M120" s="1" t="s">
        <v>26</v>
      </c>
      <c r="N120" s="6">
        <v>10</v>
      </c>
      <c r="O120" s="6">
        <v>10</v>
      </c>
      <c r="P120" s="12">
        <f>I120+N120-1</f>
        <v>46192</v>
      </c>
      <c r="Q120" s="12">
        <f t="shared" si="55"/>
        <v>46200</v>
      </c>
      <c r="R120" s="15">
        <f t="shared" si="56"/>
        <v>-1</v>
      </c>
      <c r="S120" s="21">
        <f t="shared" si="57"/>
        <v>-8</v>
      </c>
      <c r="T120" s="6" t="str">
        <f>IF(R120&gt;0,"To Paid","No")</f>
        <v>No</v>
      </c>
      <c r="U120" s="6"/>
      <c r="V120" s="9" t="s">
        <v>266</v>
      </c>
    </row>
    <row r="121" spans="1:22" ht="28.8" x14ac:dyDescent="0.3">
      <c r="A121" s="6">
        <v>120</v>
      </c>
      <c r="B121" s="1" t="s">
        <v>21</v>
      </c>
      <c r="C121" s="1" t="s">
        <v>264</v>
      </c>
      <c r="D121" s="1" t="s">
        <v>267</v>
      </c>
      <c r="E121" s="1">
        <v>9700018144</v>
      </c>
      <c r="F121" s="8" t="s">
        <v>9</v>
      </c>
      <c r="G121" s="1" t="s">
        <v>24</v>
      </c>
      <c r="H121" s="1" t="s">
        <v>25</v>
      </c>
      <c r="I121" s="12">
        <v>46183</v>
      </c>
      <c r="J121" s="12">
        <v>46191</v>
      </c>
      <c r="K121" s="12">
        <v>46192</v>
      </c>
      <c r="L121" s="12">
        <v>46195</v>
      </c>
      <c r="M121" s="1" t="s">
        <v>26</v>
      </c>
      <c r="N121" s="6">
        <v>10</v>
      </c>
      <c r="O121" s="6">
        <v>10</v>
      </c>
      <c r="P121" s="12">
        <f t="shared" ref="P121:P129" si="60">I121+N121-1</f>
        <v>46192</v>
      </c>
      <c r="Q121" s="12">
        <f t="shared" ref="Q121:Q125" si="61">J121+O121-1</f>
        <v>46200</v>
      </c>
      <c r="R121" s="15">
        <f t="shared" ref="R121:R124" si="62">J121-P121</f>
        <v>-1</v>
      </c>
      <c r="S121" s="21">
        <f t="shared" ref="S121:S125" si="63">L121-Q121</f>
        <v>-5</v>
      </c>
      <c r="T121" s="6" t="str">
        <f t="shared" ref="T121:T129" si="64">IF(R121&gt;0,"To Paid","No")</f>
        <v>No</v>
      </c>
      <c r="U121" s="6"/>
      <c r="V121" s="9" t="s">
        <v>266</v>
      </c>
    </row>
    <row r="122" spans="1:22" ht="28.8" x14ac:dyDescent="0.3">
      <c r="A122" s="6">
        <v>121</v>
      </c>
      <c r="B122" s="1" t="s">
        <v>21</v>
      </c>
      <c r="C122" s="1" t="s">
        <v>264</v>
      </c>
      <c r="D122" s="1" t="s">
        <v>268</v>
      </c>
      <c r="E122" s="1">
        <v>9700018144</v>
      </c>
      <c r="F122" s="8" t="s">
        <v>9</v>
      </c>
      <c r="G122" s="1" t="s">
        <v>24</v>
      </c>
      <c r="H122" s="1" t="s">
        <v>25</v>
      </c>
      <c r="I122" s="12">
        <v>46183</v>
      </c>
      <c r="J122" s="12">
        <v>46192</v>
      </c>
      <c r="K122" s="12">
        <v>46197</v>
      </c>
      <c r="L122" s="12">
        <v>46198</v>
      </c>
      <c r="M122" s="1" t="s">
        <v>26</v>
      </c>
      <c r="N122" s="6">
        <v>10</v>
      </c>
      <c r="O122" s="6">
        <v>10</v>
      </c>
      <c r="P122" s="12">
        <f t="shared" si="60"/>
        <v>46192</v>
      </c>
      <c r="Q122" s="12">
        <f t="shared" si="61"/>
        <v>46201</v>
      </c>
      <c r="R122" s="15">
        <f>J122-P122</f>
        <v>0</v>
      </c>
      <c r="S122" s="21">
        <f t="shared" si="63"/>
        <v>-3</v>
      </c>
      <c r="T122" s="6" t="str">
        <f t="shared" si="64"/>
        <v>No</v>
      </c>
      <c r="U122" s="6"/>
      <c r="V122" s="9" t="s">
        <v>266</v>
      </c>
    </row>
    <row r="123" spans="1:22" ht="28.8" x14ac:dyDescent="0.3">
      <c r="A123" s="6">
        <v>122</v>
      </c>
      <c r="B123" s="1" t="s">
        <v>21</v>
      </c>
      <c r="C123" s="1" t="s">
        <v>264</v>
      </c>
      <c r="D123" s="1" t="s">
        <v>269</v>
      </c>
      <c r="E123" s="1">
        <v>9700018144</v>
      </c>
      <c r="F123" s="8" t="s">
        <v>9</v>
      </c>
      <c r="G123" s="1" t="s">
        <v>24</v>
      </c>
      <c r="H123" s="1" t="s">
        <v>25</v>
      </c>
      <c r="I123" s="12">
        <v>46183</v>
      </c>
      <c r="J123" s="12">
        <v>46192</v>
      </c>
      <c r="K123" s="12">
        <v>46198</v>
      </c>
      <c r="L123" s="12">
        <v>46199</v>
      </c>
      <c r="M123" s="1" t="s">
        <v>26</v>
      </c>
      <c r="N123" s="6">
        <v>10</v>
      </c>
      <c r="O123" s="6">
        <v>10</v>
      </c>
      <c r="P123" s="12">
        <f t="shared" si="60"/>
        <v>46192</v>
      </c>
      <c r="Q123" s="12">
        <f t="shared" si="61"/>
        <v>46201</v>
      </c>
      <c r="R123" s="15">
        <f t="shared" si="62"/>
        <v>0</v>
      </c>
      <c r="S123" s="21">
        <f t="shared" si="63"/>
        <v>-2</v>
      </c>
      <c r="T123" s="6" t="str">
        <f t="shared" si="64"/>
        <v>No</v>
      </c>
      <c r="U123" s="6"/>
      <c r="V123" s="9" t="s">
        <v>266</v>
      </c>
    </row>
    <row r="124" spans="1:22" ht="28.8" x14ac:dyDescent="0.3">
      <c r="A124" s="6">
        <v>123</v>
      </c>
      <c r="B124" s="1" t="s">
        <v>21</v>
      </c>
      <c r="C124" s="1" t="s">
        <v>264</v>
      </c>
      <c r="D124" s="1" t="s">
        <v>270</v>
      </c>
      <c r="E124" s="1">
        <v>9700018144</v>
      </c>
      <c r="F124" s="8" t="s">
        <v>9</v>
      </c>
      <c r="G124" s="1" t="s">
        <v>24</v>
      </c>
      <c r="H124" s="1" t="s">
        <v>25</v>
      </c>
      <c r="I124" s="12">
        <v>46183</v>
      </c>
      <c r="J124" s="12">
        <v>46192</v>
      </c>
      <c r="K124" s="12">
        <v>46198</v>
      </c>
      <c r="L124" s="12">
        <v>46199</v>
      </c>
      <c r="M124" s="1" t="s">
        <v>26</v>
      </c>
      <c r="N124" s="6">
        <v>10</v>
      </c>
      <c r="O124" s="6">
        <v>10</v>
      </c>
      <c r="P124" s="12">
        <f t="shared" si="60"/>
        <v>46192</v>
      </c>
      <c r="Q124" s="12">
        <f t="shared" si="61"/>
        <v>46201</v>
      </c>
      <c r="R124" s="15">
        <f t="shared" si="62"/>
        <v>0</v>
      </c>
      <c r="S124" s="21">
        <f t="shared" si="63"/>
        <v>-2</v>
      </c>
      <c r="T124" s="6" t="str">
        <f t="shared" si="64"/>
        <v>No</v>
      </c>
      <c r="U124" s="6"/>
      <c r="V124" s="9" t="s">
        <v>266</v>
      </c>
    </row>
    <row r="125" spans="1:22" ht="28.8" x14ac:dyDescent="0.3">
      <c r="A125" s="6">
        <v>124</v>
      </c>
      <c r="B125" s="1" t="s">
        <v>21</v>
      </c>
      <c r="C125" s="1" t="s">
        <v>264</v>
      </c>
      <c r="D125" s="1" t="s">
        <v>271</v>
      </c>
      <c r="E125" s="1">
        <v>9700018144</v>
      </c>
      <c r="F125" s="8" t="s">
        <v>9</v>
      </c>
      <c r="G125" s="1" t="s">
        <v>24</v>
      </c>
      <c r="H125" s="1" t="s">
        <v>25</v>
      </c>
      <c r="I125" s="12">
        <v>46183</v>
      </c>
      <c r="J125" s="12">
        <v>46193</v>
      </c>
      <c r="K125" s="12">
        <v>46203</v>
      </c>
      <c r="L125" s="12">
        <v>46206</v>
      </c>
      <c r="M125" s="1" t="s">
        <v>26</v>
      </c>
      <c r="N125" s="6">
        <v>10</v>
      </c>
      <c r="O125" s="6">
        <v>10</v>
      </c>
      <c r="P125" s="12">
        <f t="shared" si="60"/>
        <v>46192</v>
      </c>
      <c r="Q125" s="12">
        <f t="shared" si="61"/>
        <v>46202</v>
      </c>
      <c r="R125" s="15">
        <f t="shared" ref="R125:R130" si="65">J125-P125</f>
        <v>1</v>
      </c>
      <c r="S125" s="21">
        <f t="shared" si="63"/>
        <v>4</v>
      </c>
      <c r="T125" s="6" t="str">
        <f t="shared" si="64"/>
        <v>To Paid</v>
      </c>
      <c r="U125" s="6"/>
      <c r="V125" s="9" t="s">
        <v>272</v>
      </c>
    </row>
    <row r="126" spans="1:22" x14ac:dyDescent="0.3">
      <c r="A126" s="6">
        <v>125</v>
      </c>
      <c r="B126" s="1" t="s">
        <v>62</v>
      </c>
      <c r="C126" s="1" t="s">
        <v>273</v>
      </c>
      <c r="D126" s="1" t="s">
        <v>274</v>
      </c>
      <c r="E126" s="1">
        <v>1510002636</v>
      </c>
      <c r="F126" s="8" t="s">
        <v>9</v>
      </c>
      <c r="G126" s="1" t="s">
        <v>65</v>
      </c>
      <c r="H126" s="1" t="s">
        <v>66</v>
      </c>
      <c r="I126" s="11">
        <v>46192</v>
      </c>
      <c r="J126" s="11">
        <v>46194</v>
      </c>
      <c r="K126" s="11">
        <v>46198</v>
      </c>
      <c r="L126" s="11">
        <v>46199</v>
      </c>
      <c r="M126" s="1" t="s">
        <v>32</v>
      </c>
      <c r="N126" s="6">
        <v>20</v>
      </c>
      <c r="O126" s="6">
        <v>15</v>
      </c>
      <c r="P126" s="12">
        <f t="shared" si="60"/>
        <v>46211</v>
      </c>
      <c r="Q126" s="11">
        <f>J126+O126-1</f>
        <v>46208</v>
      </c>
      <c r="R126" s="24">
        <f t="shared" si="65"/>
        <v>-17</v>
      </c>
      <c r="S126" s="25">
        <f>L126-Q126</f>
        <v>-9</v>
      </c>
      <c r="T126" s="23" t="str">
        <f t="shared" si="64"/>
        <v>No</v>
      </c>
      <c r="U126" s="23"/>
      <c r="V126" s="1" t="s">
        <v>275</v>
      </c>
    </row>
    <row r="127" spans="1:22" x14ac:dyDescent="0.3">
      <c r="A127" s="6">
        <v>126</v>
      </c>
      <c r="B127" s="1" t="s">
        <v>62</v>
      </c>
      <c r="C127" s="1" t="s">
        <v>273</v>
      </c>
      <c r="D127" s="1" t="s">
        <v>276</v>
      </c>
      <c r="E127" s="1">
        <v>1510002636</v>
      </c>
      <c r="F127" s="8" t="s">
        <v>9</v>
      </c>
      <c r="G127" s="1" t="s">
        <v>65</v>
      </c>
      <c r="H127" s="1" t="s">
        <v>66</v>
      </c>
      <c r="I127" s="11">
        <v>46192</v>
      </c>
      <c r="J127" s="11">
        <v>46194</v>
      </c>
      <c r="K127" s="11">
        <v>46199</v>
      </c>
      <c r="L127" s="11">
        <v>46199</v>
      </c>
      <c r="M127" s="1" t="s">
        <v>32</v>
      </c>
      <c r="N127" s="6">
        <v>20</v>
      </c>
      <c r="O127" s="6">
        <v>15</v>
      </c>
      <c r="P127" s="12">
        <f t="shared" si="60"/>
        <v>46211</v>
      </c>
      <c r="Q127" s="11">
        <f>J127+O127-1</f>
        <v>46208</v>
      </c>
      <c r="R127" s="24">
        <f t="shared" si="65"/>
        <v>-17</v>
      </c>
      <c r="S127" s="25">
        <f>L127-Q127</f>
        <v>-9</v>
      </c>
      <c r="T127" s="23" t="str">
        <f t="shared" si="64"/>
        <v>No</v>
      </c>
      <c r="U127" s="23"/>
      <c r="V127" s="1" t="s">
        <v>275</v>
      </c>
    </row>
    <row r="128" spans="1:22" x14ac:dyDescent="0.3">
      <c r="A128" s="6">
        <v>127</v>
      </c>
      <c r="B128" s="1" t="s">
        <v>62</v>
      </c>
      <c r="C128" s="1" t="s">
        <v>273</v>
      </c>
      <c r="D128" s="1" t="s">
        <v>277</v>
      </c>
      <c r="E128" s="1">
        <v>1510002636</v>
      </c>
      <c r="F128" s="8" t="s">
        <v>9</v>
      </c>
      <c r="G128" s="1" t="s">
        <v>65</v>
      </c>
      <c r="H128" s="1" t="s">
        <v>66</v>
      </c>
      <c r="I128" s="11">
        <v>46192</v>
      </c>
      <c r="J128" s="11">
        <v>46194</v>
      </c>
      <c r="K128" s="11">
        <v>46198</v>
      </c>
      <c r="L128" s="11">
        <v>46200</v>
      </c>
      <c r="M128" s="1" t="s">
        <v>32</v>
      </c>
      <c r="N128" s="6">
        <v>20</v>
      </c>
      <c r="O128" s="6">
        <v>15</v>
      </c>
      <c r="P128" s="12">
        <f t="shared" si="60"/>
        <v>46211</v>
      </c>
      <c r="Q128" s="11">
        <f>J128+O128-1</f>
        <v>46208</v>
      </c>
      <c r="R128" s="24">
        <f t="shared" si="65"/>
        <v>-17</v>
      </c>
      <c r="S128" s="25">
        <f>L128-Q128</f>
        <v>-8</v>
      </c>
      <c r="T128" s="23" t="str">
        <f t="shared" si="64"/>
        <v>No</v>
      </c>
      <c r="U128" s="23"/>
      <c r="V128" s="1" t="s">
        <v>275</v>
      </c>
    </row>
    <row r="129" spans="1:22" x14ac:dyDescent="0.3">
      <c r="A129" s="6">
        <v>128</v>
      </c>
      <c r="B129" s="1" t="s">
        <v>62</v>
      </c>
      <c r="C129" s="1" t="s">
        <v>273</v>
      </c>
      <c r="D129" s="1" t="s">
        <v>278</v>
      </c>
      <c r="E129" s="1">
        <v>1510002636</v>
      </c>
      <c r="F129" s="8" t="s">
        <v>9</v>
      </c>
      <c r="G129" s="1" t="s">
        <v>65</v>
      </c>
      <c r="H129" s="1" t="s">
        <v>66</v>
      </c>
      <c r="I129" s="11">
        <v>46192</v>
      </c>
      <c r="J129" s="11">
        <v>46194</v>
      </c>
      <c r="K129" s="11">
        <v>46196</v>
      </c>
      <c r="L129" s="11">
        <v>46197</v>
      </c>
      <c r="M129" s="1" t="s">
        <v>32</v>
      </c>
      <c r="N129" s="6">
        <v>20</v>
      </c>
      <c r="O129" s="6">
        <v>15</v>
      </c>
      <c r="P129" s="12">
        <f t="shared" si="60"/>
        <v>46211</v>
      </c>
      <c r="Q129" s="11">
        <f>J129+O129-1</f>
        <v>46208</v>
      </c>
      <c r="R129" s="24">
        <f t="shared" si="65"/>
        <v>-17</v>
      </c>
      <c r="S129" s="25">
        <f>L129-Q129</f>
        <v>-11</v>
      </c>
      <c r="T129" s="23" t="str">
        <f t="shared" si="64"/>
        <v>No</v>
      </c>
      <c r="U129" s="23"/>
      <c r="V129" s="1" t="s">
        <v>275</v>
      </c>
    </row>
    <row r="130" spans="1:22" ht="28.8" x14ac:dyDescent="0.3">
      <c r="A130" s="6">
        <v>129</v>
      </c>
      <c r="B130" s="1" t="s">
        <v>28</v>
      </c>
      <c r="C130" s="1" t="s">
        <v>279</v>
      </c>
      <c r="D130" s="1" t="s">
        <v>280</v>
      </c>
      <c r="E130" s="1">
        <v>1510002987</v>
      </c>
      <c r="F130" s="8" t="s">
        <v>9</v>
      </c>
      <c r="G130" s="1" t="s">
        <v>281</v>
      </c>
      <c r="H130" s="1" t="s">
        <v>132</v>
      </c>
      <c r="I130" s="12">
        <v>46192</v>
      </c>
      <c r="J130" s="12">
        <v>46196</v>
      </c>
      <c r="K130" s="12">
        <v>46200</v>
      </c>
      <c r="L130" s="12">
        <v>46200</v>
      </c>
      <c r="M130" s="1" t="s">
        <v>32</v>
      </c>
      <c r="N130" s="6">
        <v>7</v>
      </c>
      <c r="O130" s="6">
        <v>7</v>
      </c>
      <c r="P130" s="12">
        <f t="shared" ref="P130" si="66">I130+N130-1</f>
        <v>46198</v>
      </c>
      <c r="Q130" s="11">
        <f>J130+O130-1</f>
        <v>46202</v>
      </c>
      <c r="R130" s="24">
        <f t="shared" si="65"/>
        <v>-2</v>
      </c>
      <c r="S130" s="25">
        <f>L130-Q130</f>
        <v>-2</v>
      </c>
      <c r="T130" s="23" t="str">
        <f t="shared" si="52"/>
        <v>No</v>
      </c>
      <c r="U130" s="23"/>
      <c r="V130" s="9" t="s">
        <v>282</v>
      </c>
    </row>
    <row r="131" spans="1:22" ht="43.2" x14ac:dyDescent="0.3">
      <c r="A131" s="6">
        <v>130</v>
      </c>
      <c r="B131" s="1" t="s">
        <v>21</v>
      </c>
      <c r="C131" s="1" t="s">
        <v>283</v>
      </c>
      <c r="D131" s="1" t="s">
        <v>284</v>
      </c>
      <c r="E131" s="1">
        <v>9700018210</v>
      </c>
      <c r="F131" s="8" t="s">
        <v>9</v>
      </c>
      <c r="G131" s="1" t="s">
        <v>24</v>
      </c>
      <c r="H131" s="1" t="s">
        <v>25</v>
      </c>
      <c r="I131" s="12">
        <v>46186</v>
      </c>
      <c r="J131" s="12">
        <v>46195</v>
      </c>
      <c r="K131" s="12">
        <v>46200</v>
      </c>
      <c r="L131" s="12">
        <v>46200</v>
      </c>
      <c r="M131" s="1" t="s">
        <v>26</v>
      </c>
      <c r="N131" s="6">
        <v>10</v>
      </c>
      <c r="O131" s="6">
        <v>10</v>
      </c>
      <c r="P131" s="12">
        <f>I131+N131-1</f>
        <v>46195</v>
      </c>
      <c r="Q131" s="12">
        <f t="shared" ref="Q131:Q195" si="67">J131+O131-1</f>
        <v>46204</v>
      </c>
      <c r="R131" s="15">
        <f t="shared" ref="R131:R144" si="68">J131-P131</f>
        <v>0</v>
      </c>
      <c r="S131" s="21">
        <f t="shared" ref="S131:S144" si="69">L131-Q131</f>
        <v>-4</v>
      </c>
      <c r="T131" s="6" t="str">
        <f t="shared" si="52"/>
        <v>No</v>
      </c>
      <c r="U131" s="6"/>
      <c r="V131" s="9" t="s">
        <v>285</v>
      </c>
    </row>
    <row r="132" spans="1:22" ht="43.2" x14ac:dyDescent="0.3">
      <c r="A132" s="6">
        <v>131</v>
      </c>
      <c r="B132" s="1" t="s">
        <v>21</v>
      </c>
      <c r="C132" s="1" t="s">
        <v>283</v>
      </c>
      <c r="D132" s="1" t="s">
        <v>286</v>
      </c>
      <c r="E132" s="1">
        <v>9700018210</v>
      </c>
      <c r="F132" s="8" t="s">
        <v>9</v>
      </c>
      <c r="G132" s="1" t="s">
        <v>24</v>
      </c>
      <c r="H132" s="1" t="s">
        <v>25</v>
      </c>
      <c r="I132" s="12">
        <v>46186</v>
      </c>
      <c r="J132" s="12">
        <v>46197</v>
      </c>
      <c r="K132" s="12">
        <v>46201</v>
      </c>
      <c r="L132" s="12">
        <v>46205</v>
      </c>
      <c r="M132" s="1" t="s">
        <v>26</v>
      </c>
      <c r="N132" s="6">
        <v>10</v>
      </c>
      <c r="O132" s="6">
        <v>10</v>
      </c>
      <c r="P132" s="12">
        <f t="shared" ref="P132:P149" si="70">I132+N132-1</f>
        <v>46195</v>
      </c>
      <c r="Q132" s="12">
        <f t="shared" si="67"/>
        <v>46206</v>
      </c>
      <c r="R132" s="15">
        <f t="shared" si="68"/>
        <v>2</v>
      </c>
      <c r="S132" s="21">
        <f t="shared" si="69"/>
        <v>-1</v>
      </c>
      <c r="T132" s="6" t="str">
        <f>IF(R132&gt;0,"To Paid","No")</f>
        <v>To Paid</v>
      </c>
      <c r="U132" s="6"/>
      <c r="V132" s="9" t="s">
        <v>287</v>
      </c>
    </row>
    <row r="133" spans="1:22" ht="43.2" x14ac:dyDescent="0.3">
      <c r="A133" s="6">
        <v>132</v>
      </c>
      <c r="B133" s="1" t="s">
        <v>21</v>
      </c>
      <c r="C133" s="1" t="s">
        <v>283</v>
      </c>
      <c r="D133" s="1" t="s">
        <v>288</v>
      </c>
      <c r="E133" s="1">
        <v>9700018210</v>
      </c>
      <c r="F133" s="8" t="s">
        <v>9</v>
      </c>
      <c r="G133" s="1" t="s">
        <v>24</v>
      </c>
      <c r="H133" s="1" t="s">
        <v>25</v>
      </c>
      <c r="I133" s="12">
        <v>46186</v>
      </c>
      <c r="J133" s="12">
        <v>46196</v>
      </c>
      <c r="K133" s="12">
        <v>46201</v>
      </c>
      <c r="L133" s="12">
        <v>46202</v>
      </c>
      <c r="M133" s="1" t="s">
        <v>26</v>
      </c>
      <c r="N133" s="6">
        <v>10</v>
      </c>
      <c r="O133" s="6">
        <v>10</v>
      </c>
      <c r="P133" s="12">
        <f t="shared" si="70"/>
        <v>46195</v>
      </c>
      <c r="Q133" s="12">
        <f t="shared" si="67"/>
        <v>46205</v>
      </c>
      <c r="R133" s="15">
        <f t="shared" si="68"/>
        <v>1</v>
      </c>
      <c r="S133" s="21">
        <f t="shared" si="69"/>
        <v>-3</v>
      </c>
      <c r="T133" s="6" t="str">
        <f t="shared" si="52"/>
        <v>To Paid</v>
      </c>
      <c r="U133" s="6"/>
      <c r="V133" s="9" t="s">
        <v>285</v>
      </c>
    </row>
    <row r="134" spans="1:22" ht="43.2" x14ac:dyDescent="0.3">
      <c r="A134" s="6">
        <v>133</v>
      </c>
      <c r="B134" s="1" t="s">
        <v>21</v>
      </c>
      <c r="C134" s="1" t="s">
        <v>283</v>
      </c>
      <c r="D134" s="1" t="s">
        <v>289</v>
      </c>
      <c r="E134" s="1">
        <v>9700018210</v>
      </c>
      <c r="F134" s="8" t="s">
        <v>9</v>
      </c>
      <c r="G134" s="1" t="s">
        <v>24</v>
      </c>
      <c r="H134" s="1" t="s">
        <v>25</v>
      </c>
      <c r="I134" s="12">
        <v>46186</v>
      </c>
      <c r="J134" s="12">
        <v>46196</v>
      </c>
      <c r="K134" s="12">
        <v>46198</v>
      </c>
      <c r="L134" s="12">
        <v>46199</v>
      </c>
      <c r="M134" s="1" t="s">
        <v>26</v>
      </c>
      <c r="N134" s="6">
        <v>10</v>
      </c>
      <c r="O134" s="6">
        <v>10</v>
      </c>
      <c r="P134" s="12">
        <f t="shared" si="70"/>
        <v>46195</v>
      </c>
      <c r="Q134" s="12">
        <f t="shared" si="67"/>
        <v>46205</v>
      </c>
      <c r="R134" s="15">
        <f t="shared" si="68"/>
        <v>1</v>
      </c>
      <c r="S134" s="21">
        <f t="shared" si="69"/>
        <v>-6</v>
      </c>
      <c r="T134" s="6" t="str">
        <f t="shared" si="52"/>
        <v>To Paid</v>
      </c>
      <c r="U134" s="6"/>
      <c r="V134" s="9" t="s">
        <v>285</v>
      </c>
    </row>
    <row r="135" spans="1:22" ht="43.2" x14ac:dyDescent="0.3">
      <c r="A135" s="6">
        <v>134</v>
      </c>
      <c r="B135" s="1" t="s">
        <v>21</v>
      </c>
      <c r="C135" s="1" t="s">
        <v>283</v>
      </c>
      <c r="D135" s="1" t="s">
        <v>290</v>
      </c>
      <c r="E135" s="1">
        <v>9700018210</v>
      </c>
      <c r="F135" s="8" t="s">
        <v>9</v>
      </c>
      <c r="G135" s="1" t="s">
        <v>24</v>
      </c>
      <c r="H135" s="1" t="s">
        <v>25</v>
      </c>
      <c r="I135" s="12">
        <v>46186</v>
      </c>
      <c r="J135" s="12">
        <v>46196</v>
      </c>
      <c r="K135" s="12">
        <v>46201</v>
      </c>
      <c r="L135" s="12">
        <v>46205</v>
      </c>
      <c r="M135" s="1" t="s">
        <v>26</v>
      </c>
      <c r="N135" s="6">
        <v>10</v>
      </c>
      <c r="O135" s="6">
        <v>10</v>
      </c>
      <c r="P135" s="12">
        <f t="shared" si="70"/>
        <v>46195</v>
      </c>
      <c r="Q135" s="12">
        <f t="shared" si="67"/>
        <v>46205</v>
      </c>
      <c r="R135" s="15">
        <f t="shared" si="68"/>
        <v>1</v>
      </c>
      <c r="S135" s="21">
        <f t="shared" si="69"/>
        <v>0</v>
      </c>
      <c r="T135" s="6" t="str">
        <f t="shared" si="52"/>
        <v>To Paid</v>
      </c>
      <c r="U135" s="6"/>
      <c r="V135" s="9" t="s">
        <v>285</v>
      </c>
    </row>
    <row r="136" spans="1:22" ht="43.2" x14ac:dyDescent="0.3">
      <c r="A136" s="6">
        <v>135</v>
      </c>
      <c r="B136" s="1" t="s">
        <v>21</v>
      </c>
      <c r="C136" s="1" t="s">
        <v>283</v>
      </c>
      <c r="D136" s="1" t="s">
        <v>291</v>
      </c>
      <c r="E136" s="1">
        <v>9700018210</v>
      </c>
      <c r="F136" s="8" t="s">
        <v>9</v>
      </c>
      <c r="G136" s="1" t="s">
        <v>24</v>
      </c>
      <c r="H136" s="1" t="s">
        <v>25</v>
      </c>
      <c r="I136" s="12">
        <v>46186</v>
      </c>
      <c r="J136" s="12">
        <v>46197</v>
      </c>
      <c r="K136" s="12">
        <v>46206</v>
      </c>
      <c r="L136" s="12">
        <v>46206</v>
      </c>
      <c r="M136" s="1" t="s">
        <v>26</v>
      </c>
      <c r="N136" s="6">
        <v>10</v>
      </c>
      <c r="O136" s="6">
        <v>10</v>
      </c>
      <c r="P136" s="12">
        <f t="shared" si="70"/>
        <v>46195</v>
      </c>
      <c r="Q136" s="12">
        <f t="shared" si="67"/>
        <v>46206</v>
      </c>
      <c r="R136" s="15">
        <f t="shared" si="68"/>
        <v>2</v>
      </c>
      <c r="S136" s="21">
        <f t="shared" si="69"/>
        <v>0</v>
      </c>
      <c r="T136" s="6" t="str">
        <f t="shared" si="52"/>
        <v>To Paid</v>
      </c>
      <c r="U136" s="6"/>
      <c r="V136" s="9" t="s">
        <v>287</v>
      </c>
    </row>
    <row r="137" spans="1:22" ht="60.6" customHeight="1" x14ac:dyDescent="0.3">
      <c r="A137" s="6">
        <v>136</v>
      </c>
      <c r="B137" s="1" t="s">
        <v>21</v>
      </c>
      <c r="C137" s="1" t="s">
        <v>283</v>
      </c>
      <c r="D137" s="1" t="s">
        <v>292</v>
      </c>
      <c r="E137" s="1">
        <v>9700018210</v>
      </c>
      <c r="F137" s="8" t="s">
        <v>9</v>
      </c>
      <c r="G137" s="1" t="s">
        <v>24</v>
      </c>
      <c r="H137" s="1" t="s">
        <v>25</v>
      </c>
      <c r="I137" s="12">
        <v>46186</v>
      </c>
      <c r="J137" s="12">
        <v>46198</v>
      </c>
      <c r="K137" s="12">
        <v>46200</v>
      </c>
      <c r="L137" s="12">
        <v>46199</v>
      </c>
      <c r="M137" s="1" t="s">
        <v>26</v>
      </c>
      <c r="N137" s="6">
        <v>10</v>
      </c>
      <c r="O137" s="6">
        <v>10</v>
      </c>
      <c r="P137" s="12">
        <f t="shared" si="70"/>
        <v>46195</v>
      </c>
      <c r="Q137" s="12">
        <f t="shared" si="67"/>
        <v>46207</v>
      </c>
      <c r="R137" s="15">
        <f t="shared" si="68"/>
        <v>3</v>
      </c>
      <c r="S137" s="21">
        <f t="shared" si="69"/>
        <v>-8</v>
      </c>
      <c r="T137" s="6" t="str">
        <f t="shared" si="52"/>
        <v>To Paid</v>
      </c>
      <c r="U137" s="6"/>
      <c r="V137" s="9" t="s">
        <v>293</v>
      </c>
    </row>
    <row r="138" spans="1:22" ht="43.2" x14ac:dyDescent="0.3">
      <c r="A138" s="6">
        <v>137</v>
      </c>
      <c r="B138" s="1" t="s">
        <v>21</v>
      </c>
      <c r="C138" s="1" t="s">
        <v>283</v>
      </c>
      <c r="D138" s="1" t="s">
        <v>294</v>
      </c>
      <c r="E138" s="1">
        <v>9700018210</v>
      </c>
      <c r="F138" s="8" t="s">
        <v>9</v>
      </c>
      <c r="G138" s="1" t="s">
        <v>24</v>
      </c>
      <c r="H138" s="1" t="s">
        <v>25</v>
      </c>
      <c r="I138" s="12">
        <v>46186</v>
      </c>
      <c r="J138" s="12">
        <v>46199</v>
      </c>
      <c r="K138" s="12">
        <v>46203</v>
      </c>
      <c r="L138" s="12">
        <v>46205</v>
      </c>
      <c r="M138" s="1" t="s">
        <v>26</v>
      </c>
      <c r="N138" s="6">
        <v>10</v>
      </c>
      <c r="O138" s="6">
        <v>10</v>
      </c>
      <c r="P138" s="12">
        <f t="shared" si="70"/>
        <v>46195</v>
      </c>
      <c r="Q138" s="12">
        <f t="shared" si="67"/>
        <v>46208</v>
      </c>
      <c r="R138" s="15">
        <f t="shared" si="68"/>
        <v>4</v>
      </c>
      <c r="S138" s="21">
        <f t="shared" si="69"/>
        <v>-3</v>
      </c>
      <c r="T138" s="6" t="str">
        <f t="shared" si="52"/>
        <v>To Paid</v>
      </c>
      <c r="U138" s="6"/>
      <c r="V138" s="9" t="s">
        <v>295</v>
      </c>
    </row>
    <row r="139" spans="1:22" ht="43.2" x14ac:dyDescent="0.3">
      <c r="A139" s="6">
        <v>138</v>
      </c>
      <c r="B139" s="1" t="s">
        <v>21</v>
      </c>
      <c r="C139" s="1" t="s">
        <v>283</v>
      </c>
      <c r="D139" s="1" t="s">
        <v>296</v>
      </c>
      <c r="E139" s="1">
        <v>9700018210</v>
      </c>
      <c r="F139" s="8" t="s">
        <v>9</v>
      </c>
      <c r="G139" s="1" t="s">
        <v>24</v>
      </c>
      <c r="H139" s="1" t="s">
        <v>25</v>
      </c>
      <c r="I139" s="12">
        <v>46186</v>
      </c>
      <c r="J139" s="12">
        <v>46199</v>
      </c>
      <c r="K139" s="12">
        <v>46203</v>
      </c>
      <c r="L139" s="12">
        <v>46205</v>
      </c>
      <c r="M139" s="1" t="s">
        <v>26</v>
      </c>
      <c r="N139" s="6">
        <v>10</v>
      </c>
      <c r="O139" s="6">
        <v>10</v>
      </c>
      <c r="P139" s="12">
        <f t="shared" si="70"/>
        <v>46195</v>
      </c>
      <c r="Q139" s="12">
        <f t="shared" si="67"/>
        <v>46208</v>
      </c>
      <c r="R139" s="15">
        <f t="shared" si="68"/>
        <v>4</v>
      </c>
      <c r="S139" s="21">
        <f t="shared" si="69"/>
        <v>-3</v>
      </c>
      <c r="T139" s="6" t="str">
        <f t="shared" si="52"/>
        <v>To Paid</v>
      </c>
      <c r="U139" s="6"/>
      <c r="V139" s="9" t="s">
        <v>295</v>
      </c>
    </row>
    <row r="140" spans="1:22" ht="43.2" x14ac:dyDescent="0.3">
      <c r="A140" s="6">
        <v>139</v>
      </c>
      <c r="B140" s="1" t="s">
        <v>21</v>
      </c>
      <c r="C140" s="1" t="s">
        <v>283</v>
      </c>
      <c r="D140" s="1" t="s">
        <v>297</v>
      </c>
      <c r="E140" s="1">
        <v>9700018210</v>
      </c>
      <c r="F140" s="8" t="s">
        <v>9</v>
      </c>
      <c r="G140" s="1" t="s">
        <v>24</v>
      </c>
      <c r="H140" s="1" t="s">
        <v>25</v>
      </c>
      <c r="I140" s="12">
        <v>46186</v>
      </c>
      <c r="J140" s="12">
        <v>46199</v>
      </c>
      <c r="K140" s="12">
        <v>46206</v>
      </c>
      <c r="L140" s="12">
        <v>46206</v>
      </c>
      <c r="M140" s="1" t="s">
        <v>26</v>
      </c>
      <c r="N140" s="6">
        <v>10</v>
      </c>
      <c r="O140" s="6">
        <v>10</v>
      </c>
      <c r="P140" s="12">
        <f t="shared" si="70"/>
        <v>46195</v>
      </c>
      <c r="Q140" s="12">
        <f t="shared" si="67"/>
        <v>46208</v>
      </c>
      <c r="R140" s="15">
        <f t="shared" si="68"/>
        <v>4</v>
      </c>
      <c r="S140" s="21">
        <f t="shared" si="69"/>
        <v>-2</v>
      </c>
      <c r="T140" s="6" t="str">
        <f t="shared" si="52"/>
        <v>To Paid</v>
      </c>
      <c r="U140" s="6"/>
      <c r="V140" s="9" t="s">
        <v>295</v>
      </c>
    </row>
    <row r="141" spans="1:22" ht="43.2" x14ac:dyDescent="0.3">
      <c r="A141" s="6">
        <v>140</v>
      </c>
      <c r="B141" s="1" t="s">
        <v>21</v>
      </c>
      <c r="C141" s="1" t="s">
        <v>283</v>
      </c>
      <c r="D141" s="1" t="s">
        <v>298</v>
      </c>
      <c r="E141" s="1">
        <v>9700018210</v>
      </c>
      <c r="F141" s="8" t="s">
        <v>9</v>
      </c>
      <c r="G141" s="1" t="s">
        <v>24</v>
      </c>
      <c r="H141" s="1" t="s">
        <v>25</v>
      </c>
      <c r="I141" s="12">
        <v>46186</v>
      </c>
      <c r="J141" s="12">
        <v>46199</v>
      </c>
      <c r="K141" s="12">
        <v>46203</v>
      </c>
      <c r="L141" s="12">
        <v>46205</v>
      </c>
      <c r="M141" s="1" t="s">
        <v>26</v>
      </c>
      <c r="N141" s="6">
        <v>10</v>
      </c>
      <c r="O141" s="6">
        <v>10</v>
      </c>
      <c r="P141" s="12">
        <f t="shared" si="70"/>
        <v>46195</v>
      </c>
      <c r="Q141" s="12">
        <f t="shared" si="67"/>
        <v>46208</v>
      </c>
      <c r="R141" s="15">
        <f t="shared" si="68"/>
        <v>4</v>
      </c>
      <c r="S141" s="21">
        <f t="shared" si="69"/>
        <v>-3</v>
      </c>
      <c r="T141" s="6" t="str">
        <f t="shared" si="52"/>
        <v>To Paid</v>
      </c>
      <c r="U141" s="6"/>
      <c r="V141" s="9" t="s">
        <v>299</v>
      </c>
    </row>
    <row r="142" spans="1:22" ht="43.2" x14ac:dyDescent="0.3">
      <c r="A142" s="6">
        <v>141</v>
      </c>
      <c r="B142" s="1" t="s">
        <v>21</v>
      </c>
      <c r="C142" s="1" t="s">
        <v>283</v>
      </c>
      <c r="D142" s="1" t="s">
        <v>300</v>
      </c>
      <c r="E142" s="1">
        <v>9700018210</v>
      </c>
      <c r="F142" s="8" t="s">
        <v>9</v>
      </c>
      <c r="G142" s="1" t="s">
        <v>24</v>
      </c>
      <c r="H142" s="1" t="s">
        <v>25</v>
      </c>
      <c r="I142" s="12">
        <v>46186</v>
      </c>
      <c r="J142" s="12">
        <v>46199</v>
      </c>
      <c r="K142" s="12">
        <v>46202</v>
      </c>
      <c r="L142" s="12">
        <v>46202</v>
      </c>
      <c r="M142" s="1" t="s">
        <v>26</v>
      </c>
      <c r="N142" s="6">
        <v>10</v>
      </c>
      <c r="O142" s="6">
        <v>10</v>
      </c>
      <c r="P142" s="12">
        <f t="shared" si="70"/>
        <v>46195</v>
      </c>
      <c r="Q142" s="12">
        <f t="shared" si="67"/>
        <v>46208</v>
      </c>
      <c r="R142" s="15">
        <f t="shared" si="68"/>
        <v>4</v>
      </c>
      <c r="S142" s="21">
        <f t="shared" si="69"/>
        <v>-6</v>
      </c>
      <c r="T142" s="6" t="str">
        <f t="shared" si="52"/>
        <v>To Paid</v>
      </c>
      <c r="U142" s="6"/>
      <c r="V142" s="9" t="s">
        <v>295</v>
      </c>
    </row>
    <row r="143" spans="1:22" ht="43.2" x14ac:dyDescent="0.3">
      <c r="A143" s="6">
        <v>142</v>
      </c>
      <c r="B143" s="1" t="s">
        <v>21</v>
      </c>
      <c r="C143" s="1" t="s">
        <v>283</v>
      </c>
      <c r="D143" s="1" t="s">
        <v>301</v>
      </c>
      <c r="E143" s="1">
        <v>9700018210</v>
      </c>
      <c r="F143" s="8" t="s">
        <v>9</v>
      </c>
      <c r="G143" s="1" t="s">
        <v>24</v>
      </c>
      <c r="H143" s="1" t="s">
        <v>25</v>
      </c>
      <c r="I143" s="12">
        <v>46186</v>
      </c>
      <c r="J143" s="12">
        <v>46200</v>
      </c>
      <c r="K143" s="12">
        <v>46203</v>
      </c>
      <c r="L143" s="12">
        <v>46205</v>
      </c>
      <c r="M143" s="1" t="s">
        <v>26</v>
      </c>
      <c r="N143" s="6">
        <v>10</v>
      </c>
      <c r="O143" s="6">
        <v>10</v>
      </c>
      <c r="P143" s="12">
        <f t="shared" si="70"/>
        <v>46195</v>
      </c>
      <c r="Q143" s="12">
        <f t="shared" si="67"/>
        <v>46209</v>
      </c>
      <c r="R143" s="15">
        <f t="shared" si="68"/>
        <v>5</v>
      </c>
      <c r="S143" s="21">
        <f t="shared" si="69"/>
        <v>-4</v>
      </c>
      <c r="T143" s="6" t="str">
        <f t="shared" si="52"/>
        <v>To Paid</v>
      </c>
      <c r="U143" s="6"/>
      <c r="V143" s="9" t="s">
        <v>302</v>
      </c>
    </row>
    <row r="144" spans="1:22" ht="13.95" customHeight="1" x14ac:dyDescent="0.3">
      <c r="A144" s="6">
        <v>143</v>
      </c>
      <c r="B144" s="1" t="s">
        <v>28</v>
      </c>
      <c r="C144" s="1" t="s">
        <v>303</v>
      </c>
      <c r="D144" s="1" t="s">
        <v>304</v>
      </c>
      <c r="E144" s="1">
        <v>1510002986</v>
      </c>
      <c r="F144" s="8" t="s">
        <v>9</v>
      </c>
      <c r="G144" s="1" t="s">
        <v>140</v>
      </c>
      <c r="H144" s="1" t="s">
        <v>25</v>
      </c>
      <c r="I144" s="11">
        <v>46204</v>
      </c>
      <c r="J144" s="11">
        <v>46207</v>
      </c>
      <c r="K144" s="11">
        <v>46209</v>
      </c>
      <c r="L144" s="11">
        <v>46211</v>
      </c>
      <c r="M144" s="1" t="s">
        <v>32</v>
      </c>
      <c r="N144" s="6"/>
      <c r="O144" s="6"/>
      <c r="P144" s="12">
        <f t="shared" si="70"/>
        <v>46203</v>
      </c>
      <c r="Q144" s="12">
        <f t="shared" si="67"/>
        <v>46206</v>
      </c>
      <c r="R144" s="24">
        <f t="shared" si="68"/>
        <v>4</v>
      </c>
      <c r="S144" s="25">
        <f t="shared" si="69"/>
        <v>5</v>
      </c>
      <c r="T144" s="23" t="str">
        <f t="shared" si="52"/>
        <v>To Paid</v>
      </c>
      <c r="U144" s="23"/>
      <c r="V144" s="1"/>
    </row>
    <row r="145" spans="1:22" x14ac:dyDescent="0.3">
      <c r="A145" s="6">
        <v>144</v>
      </c>
      <c r="B145" s="1" t="s">
        <v>62</v>
      </c>
      <c r="C145" s="1" t="s">
        <v>305</v>
      </c>
      <c r="D145" s="1" t="s">
        <v>306</v>
      </c>
      <c r="E145" s="1">
        <v>1510002638</v>
      </c>
      <c r="F145" s="8" t="s">
        <v>9</v>
      </c>
      <c r="G145" s="1" t="s">
        <v>65</v>
      </c>
      <c r="H145" s="1" t="s">
        <v>66</v>
      </c>
      <c r="I145" s="11">
        <v>46202</v>
      </c>
      <c r="J145" s="11">
        <v>46205</v>
      </c>
      <c r="K145" s="11">
        <v>46210</v>
      </c>
      <c r="L145" s="11">
        <v>46211</v>
      </c>
      <c r="M145" s="1" t="s">
        <v>32</v>
      </c>
      <c r="N145" s="6">
        <v>20</v>
      </c>
      <c r="O145" s="6">
        <v>15</v>
      </c>
      <c r="P145" s="12">
        <f t="shared" si="70"/>
        <v>46221</v>
      </c>
      <c r="Q145" s="11">
        <f>J145+O145-1</f>
        <v>46219</v>
      </c>
      <c r="R145" s="24">
        <f>J145-P145</f>
        <v>-16</v>
      </c>
      <c r="S145" s="25">
        <f>L145-Q145</f>
        <v>-8</v>
      </c>
      <c r="T145" s="23" t="str">
        <f t="shared" ref="T145:T149" si="71">IF(R145&gt;0,"To Paid","No")</f>
        <v>No</v>
      </c>
      <c r="U145" s="23"/>
      <c r="V145" s="1" t="s">
        <v>307</v>
      </c>
    </row>
    <row r="146" spans="1:22" x14ac:dyDescent="0.3">
      <c r="A146" s="6">
        <v>145</v>
      </c>
      <c r="B146" s="1" t="s">
        <v>62</v>
      </c>
      <c r="C146" s="1" t="s">
        <v>305</v>
      </c>
      <c r="D146" s="1" t="s">
        <v>308</v>
      </c>
      <c r="E146" s="1">
        <v>1510002638</v>
      </c>
      <c r="F146" s="8" t="s">
        <v>9</v>
      </c>
      <c r="G146" s="1" t="s">
        <v>65</v>
      </c>
      <c r="H146" s="1" t="s">
        <v>66</v>
      </c>
      <c r="I146" s="11">
        <v>46202</v>
      </c>
      <c r="J146" s="11">
        <v>46205</v>
      </c>
      <c r="K146" s="11">
        <v>46212</v>
      </c>
      <c r="L146" s="11">
        <v>46214</v>
      </c>
      <c r="M146" s="1" t="s">
        <v>32</v>
      </c>
      <c r="N146" s="6">
        <v>20</v>
      </c>
      <c r="O146" s="6">
        <v>15</v>
      </c>
      <c r="P146" s="12">
        <f t="shared" si="70"/>
        <v>46221</v>
      </c>
      <c r="Q146" s="11">
        <f>J146+O146-1</f>
        <v>46219</v>
      </c>
      <c r="R146" s="24">
        <f>J146-P146</f>
        <v>-16</v>
      </c>
      <c r="S146" s="25">
        <f>L146-Q146</f>
        <v>-5</v>
      </c>
      <c r="T146" s="23" t="str">
        <f t="shared" si="71"/>
        <v>No</v>
      </c>
      <c r="U146" s="23"/>
      <c r="V146" s="1" t="s">
        <v>307</v>
      </c>
    </row>
    <row r="147" spans="1:22" x14ac:dyDescent="0.3">
      <c r="A147" s="6">
        <v>146</v>
      </c>
      <c r="B147" s="1" t="s">
        <v>62</v>
      </c>
      <c r="C147" s="1" t="s">
        <v>305</v>
      </c>
      <c r="D147" s="1" t="s">
        <v>309</v>
      </c>
      <c r="E147" s="1">
        <v>1510002638</v>
      </c>
      <c r="F147" s="8" t="s">
        <v>9</v>
      </c>
      <c r="G147" s="1" t="s">
        <v>65</v>
      </c>
      <c r="H147" s="1" t="s">
        <v>66</v>
      </c>
      <c r="I147" s="11">
        <v>46202</v>
      </c>
      <c r="J147" s="11">
        <v>46205</v>
      </c>
      <c r="K147" s="11">
        <v>46210</v>
      </c>
      <c r="L147" s="11">
        <v>46211</v>
      </c>
      <c r="M147" s="1" t="s">
        <v>32</v>
      </c>
      <c r="N147" s="6">
        <v>20</v>
      </c>
      <c r="O147" s="6">
        <v>15</v>
      </c>
      <c r="P147" s="12">
        <f t="shared" si="70"/>
        <v>46221</v>
      </c>
      <c r="Q147" s="11">
        <f>J147+O147-1</f>
        <v>46219</v>
      </c>
      <c r="R147" s="24">
        <f>J147-P147</f>
        <v>-16</v>
      </c>
      <c r="S147" s="25">
        <f>L147-Q147</f>
        <v>-8</v>
      </c>
      <c r="T147" s="23" t="str">
        <f t="shared" si="71"/>
        <v>No</v>
      </c>
      <c r="U147" s="23"/>
      <c r="V147" s="1" t="s">
        <v>307</v>
      </c>
    </row>
    <row r="148" spans="1:22" x14ac:dyDescent="0.3">
      <c r="A148" s="6">
        <v>147</v>
      </c>
      <c r="B148" s="1" t="s">
        <v>62</v>
      </c>
      <c r="C148" s="1" t="s">
        <v>305</v>
      </c>
      <c r="D148" s="1" t="s">
        <v>310</v>
      </c>
      <c r="E148" s="1">
        <v>1510002638</v>
      </c>
      <c r="F148" s="8" t="s">
        <v>9</v>
      </c>
      <c r="G148" s="1" t="s">
        <v>65</v>
      </c>
      <c r="H148" s="1" t="s">
        <v>66</v>
      </c>
      <c r="I148" s="11">
        <v>46202</v>
      </c>
      <c r="J148" s="11">
        <v>46205</v>
      </c>
      <c r="K148" s="11">
        <v>46207</v>
      </c>
      <c r="L148" s="11">
        <v>46207</v>
      </c>
      <c r="M148" s="1" t="s">
        <v>32</v>
      </c>
      <c r="N148" s="6">
        <v>20</v>
      </c>
      <c r="O148" s="6">
        <v>15</v>
      </c>
      <c r="P148" s="12">
        <f t="shared" si="70"/>
        <v>46221</v>
      </c>
      <c r="Q148" s="11">
        <f>J148+O148-1</f>
        <v>46219</v>
      </c>
      <c r="R148" s="24">
        <f>J148-P148</f>
        <v>-16</v>
      </c>
      <c r="S148" s="25">
        <f>L148-Q148</f>
        <v>-12</v>
      </c>
      <c r="T148" s="23" t="str">
        <f t="shared" si="71"/>
        <v>No</v>
      </c>
      <c r="U148" s="23"/>
      <c r="V148" s="1" t="s">
        <v>307</v>
      </c>
    </row>
    <row r="149" spans="1:22" ht="14.4" customHeight="1" x14ac:dyDescent="0.3">
      <c r="A149" s="6">
        <v>148</v>
      </c>
      <c r="B149" s="41" t="s">
        <v>115</v>
      </c>
      <c r="C149" s="41" t="s">
        <v>311</v>
      </c>
      <c r="D149" s="43" t="s">
        <v>312</v>
      </c>
      <c r="E149" s="45">
        <v>1510002789</v>
      </c>
      <c r="F149" s="47" t="s">
        <v>9</v>
      </c>
      <c r="G149" s="1" t="s">
        <v>313</v>
      </c>
      <c r="H149" s="1" t="s">
        <v>25</v>
      </c>
      <c r="I149" s="11">
        <v>46196</v>
      </c>
      <c r="J149" s="11">
        <v>46206</v>
      </c>
      <c r="K149" s="11">
        <v>46206</v>
      </c>
      <c r="L149" s="11">
        <v>46206</v>
      </c>
      <c r="M149" s="1" t="s">
        <v>32</v>
      </c>
      <c r="N149" s="6">
        <v>20</v>
      </c>
      <c r="O149" s="6">
        <v>15</v>
      </c>
      <c r="P149" s="12">
        <f t="shared" si="70"/>
        <v>46215</v>
      </c>
      <c r="Q149" s="11">
        <f>J149+O149-1</f>
        <v>46220</v>
      </c>
      <c r="R149" s="24">
        <f>J149-P149</f>
        <v>-9</v>
      </c>
      <c r="S149" s="25">
        <f>L149-Q149</f>
        <v>-14</v>
      </c>
      <c r="T149" s="23" t="str">
        <f t="shared" si="71"/>
        <v>No</v>
      </c>
      <c r="U149" s="23"/>
      <c r="V149" s="1" t="s">
        <v>314</v>
      </c>
    </row>
    <row r="150" spans="1:22" x14ac:dyDescent="0.3">
      <c r="A150" s="6">
        <v>149</v>
      </c>
      <c r="B150" s="42"/>
      <c r="C150" s="42"/>
      <c r="D150" s="44"/>
      <c r="E150" s="46"/>
      <c r="F150" s="48"/>
      <c r="G150" s="1" t="s">
        <v>315</v>
      </c>
      <c r="H150" s="1" t="s">
        <v>25</v>
      </c>
      <c r="I150" s="11">
        <v>46196</v>
      </c>
      <c r="J150" s="11">
        <v>46206</v>
      </c>
      <c r="K150" s="11">
        <v>46206</v>
      </c>
      <c r="L150" s="11">
        <v>46206</v>
      </c>
      <c r="M150" s="1" t="s">
        <v>32</v>
      </c>
      <c r="N150" s="6">
        <v>20</v>
      </c>
      <c r="O150" s="6">
        <v>15</v>
      </c>
      <c r="P150" s="12">
        <f t="shared" ref="P150" si="72">I150+N150-1</f>
        <v>46215</v>
      </c>
      <c r="Q150" s="12">
        <f t="shared" si="67"/>
        <v>46220</v>
      </c>
      <c r="R150" s="24">
        <f t="shared" ref="R150" si="73">J150-P150</f>
        <v>-9</v>
      </c>
      <c r="S150" s="25">
        <f t="shared" ref="S150" si="74">L150-Q150</f>
        <v>-14</v>
      </c>
      <c r="T150" s="23" t="str">
        <f t="shared" ref="T150:T211" si="75">IF(R150&gt;0,"To Paid","No")</f>
        <v>No</v>
      </c>
      <c r="U150" s="23"/>
      <c r="V150" s="1" t="s">
        <v>316</v>
      </c>
    </row>
    <row r="151" spans="1:22" ht="28.95" customHeight="1" x14ac:dyDescent="0.3">
      <c r="A151" s="6">
        <v>150</v>
      </c>
      <c r="B151" s="1" t="s">
        <v>317</v>
      </c>
      <c r="C151" s="1" t="s">
        <v>318</v>
      </c>
      <c r="D151" s="1" t="s">
        <v>319</v>
      </c>
      <c r="E151" s="1">
        <v>1510003547</v>
      </c>
      <c r="F151" s="8" t="s">
        <v>9</v>
      </c>
      <c r="G151" s="1" t="s">
        <v>320</v>
      </c>
      <c r="H151" s="1" t="s">
        <v>25</v>
      </c>
      <c r="I151" s="11">
        <v>46189</v>
      </c>
      <c r="J151" s="11">
        <v>46211</v>
      </c>
      <c r="K151" s="11">
        <v>46212</v>
      </c>
      <c r="L151" s="11">
        <v>46216</v>
      </c>
      <c r="M151" s="1" t="s">
        <v>32</v>
      </c>
      <c r="N151" s="6">
        <v>21</v>
      </c>
      <c r="O151" s="6">
        <v>14</v>
      </c>
      <c r="P151" s="12">
        <f t="shared" ref="P151:P165" si="76">I151+N151-1</f>
        <v>46209</v>
      </c>
      <c r="Q151" s="12">
        <f t="shared" si="67"/>
        <v>46224</v>
      </c>
      <c r="R151" s="15">
        <f t="shared" ref="R151:R161" si="77">J151-P151</f>
        <v>2</v>
      </c>
      <c r="S151" s="21">
        <f t="shared" ref="S151:S161" si="78">L151-Q151</f>
        <v>-8</v>
      </c>
      <c r="T151" s="6" t="str">
        <f t="shared" si="75"/>
        <v>To Paid</v>
      </c>
      <c r="U151" s="38" t="s">
        <v>321</v>
      </c>
      <c r="V151" s="9" t="s">
        <v>322</v>
      </c>
    </row>
    <row r="152" spans="1:22" ht="30.6" customHeight="1" x14ac:dyDescent="0.3">
      <c r="A152" s="6">
        <v>151</v>
      </c>
      <c r="B152" s="1" t="s">
        <v>317</v>
      </c>
      <c r="C152" s="1" t="s">
        <v>318</v>
      </c>
      <c r="D152" s="1" t="s">
        <v>323</v>
      </c>
      <c r="E152" s="1">
        <v>1510003547</v>
      </c>
      <c r="F152" s="8" t="s">
        <v>9</v>
      </c>
      <c r="G152" s="1" t="s">
        <v>324</v>
      </c>
      <c r="H152" s="1" t="s">
        <v>25</v>
      </c>
      <c r="I152" s="11">
        <v>46189</v>
      </c>
      <c r="J152" s="11">
        <v>46210</v>
      </c>
      <c r="K152" s="11">
        <v>46212</v>
      </c>
      <c r="L152" s="11">
        <v>46213</v>
      </c>
      <c r="M152" s="1" t="s">
        <v>32</v>
      </c>
      <c r="N152" s="6">
        <v>21</v>
      </c>
      <c r="O152" s="6">
        <v>14</v>
      </c>
      <c r="P152" s="12">
        <f t="shared" si="76"/>
        <v>46209</v>
      </c>
      <c r="Q152" s="12">
        <f t="shared" si="67"/>
        <v>46223</v>
      </c>
      <c r="R152" s="15">
        <f t="shared" si="77"/>
        <v>1</v>
      </c>
      <c r="S152" s="21">
        <f t="shared" si="78"/>
        <v>-10</v>
      </c>
      <c r="T152" s="6" t="str">
        <f t="shared" si="75"/>
        <v>To Paid</v>
      </c>
      <c r="U152" s="38" t="s">
        <v>321</v>
      </c>
      <c r="V152" s="9" t="s">
        <v>322</v>
      </c>
    </row>
    <row r="153" spans="1:22" ht="30" customHeight="1" x14ac:dyDescent="0.3">
      <c r="A153" s="6">
        <v>152</v>
      </c>
      <c r="B153" s="1" t="s">
        <v>317</v>
      </c>
      <c r="C153" s="1" t="s">
        <v>318</v>
      </c>
      <c r="D153" s="1" t="s">
        <v>325</v>
      </c>
      <c r="E153" s="1">
        <v>1510003547</v>
      </c>
      <c r="F153" s="8" t="s">
        <v>9</v>
      </c>
      <c r="G153" s="1" t="s">
        <v>326</v>
      </c>
      <c r="H153" s="1" t="s">
        <v>25</v>
      </c>
      <c r="I153" s="11">
        <v>46189</v>
      </c>
      <c r="J153" s="11">
        <v>46210</v>
      </c>
      <c r="K153" s="11">
        <v>46212</v>
      </c>
      <c r="L153" s="11">
        <v>46213</v>
      </c>
      <c r="M153" s="1" t="s">
        <v>32</v>
      </c>
      <c r="N153" s="6">
        <v>21</v>
      </c>
      <c r="O153" s="6">
        <v>14</v>
      </c>
      <c r="P153" s="12">
        <f t="shared" si="76"/>
        <v>46209</v>
      </c>
      <c r="Q153" s="12">
        <f t="shared" si="67"/>
        <v>46223</v>
      </c>
      <c r="R153" s="15">
        <f t="shared" si="77"/>
        <v>1</v>
      </c>
      <c r="S153" s="21">
        <f t="shared" si="78"/>
        <v>-10</v>
      </c>
      <c r="T153" s="6" t="str">
        <f t="shared" si="75"/>
        <v>To Paid</v>
      </c>
      <c r="U153" s="38" t="s">
        <v>321</v>
      </c>
      <c r="V153" s="9" t="s">
        <v>322</v>
      </c>
    </row>
    <row r="154" spans="1:22" ht="29.4" customHeight="1" x14ac:dyDescent="0.3">
      <c r="A154" s="6">
        <v>153</v>
      </c>
      <c r="B154" s="1" t="s">
        <v>317</v>
      </c>
      <c r="C154" s="1" t="s">
        <v>318</v>
      </c>
      <c r="D154" s="1" t="s">
        <v>327</v>
      </c>
      <c r="E154" s="1">
        <v>1510003547</v>
      </c>
      <c r="F154" s="8" t="s">
        <v>9</v>
      </c>
      <c r="G154" s="1" t="s">
        <v>326</v>
      </c>
      <c r="H154" s="1" t="s">
        <v>25</v>
      </c>
      <c r="I154" s="11">
        <v>46189</v>
      </c>
      <c r="J154" s="11">
        <v>46211</v>
      </c>
      <c r="K154" s="11">
        <v>46212</v>
      </c>
      <c r="L154" s="11">
        <v>46213</v>
      </c>
      <c r="M154" s="1" t="s">
        <v>32</v>
      </c>
      <c r="N154" s="6">
        <v>21</v>
      </c>
      <c r="O154" s="6">
        <v>14</v>
      </c>
      <c r="P154" s="12">
        <f t="shared" si="76"/>
        <v>46209</v>
      </c>
      <c r="Q154" s="12">
        <f t="shared" si="67"/>
        <v>46224</v>
      </c>
      <c r="R154" s="15">
        <f t="shared" si="77"/>
        <v>2</v>
      </c>
      <c r="S154" s="21">
        <f t="shared" si="78"/>
        <v>-11</v>
      </c>
      <c r="T154" s="6" t="str">
        <f t="shared" si="75"/>
        <v>To Paid</v>
      </c>
      <c r="U154" s="38" t="s">
        <v>321</v>
      </c>
      <c r="V154" s="9" t="s">
        <v>322</v>
      </c>
    </row>
    <row r="155" spans="1:22" ht="57.6" x14ac:dyDescent="0.3">
      <c r="A155" s="6">
        <v>154</v>
      </c>
      <c r="B155" s="1" t="s">
        <v>152</v>
      </c>
      <c r="C155" s="1" t="s">
        <v>328</v>
      </c>
      <c r="D155" s="1" t="s">
        <v>329</v>
      </c>
      <c r="E155" s="1">
        <v>1510002150</v>
      </c>
      <c r="F155" s="8" t="s">
        <v>9</v>
      </c>
      <c r="G155" s="1" t="s">
        <v>155</v>
      </c>
      <c r="H155" s="1" t="s">
        <v>25</v>
      </c>
      <c r="I155" s="11">
        <v>46219</v>
      </c>
      <c r="J155" s="11">
        <v>46227</v>
      </c>
      <c r="K155" s="11">
        <v>46232</v>
      </c>
      <c r="L155" s="11">
        <v>46232</v>
      </c>
      <c r="M155" s="1" t="s">
        <v>26</v>
      </c>
      <c r="N155" s="6">
        <v>9</v>
      </c>
      <c r="O155" s="6">
        <v>5</v>
      </c>
      <c r="P155" s="12">
        <f>I155+N155-1</f>
        <v>46227</v>
      </c>
      <c r="Q155" s="12">
        <f>J155+O155</f>
        <v>46232</v>
      </c>
      <c r="R155" s="15">
        <f>J155-P155</f>
        <v>0</v>
      </c>
      <c r="S155" s="21">
        <f>L155-Q155</f>
        <v>0</v>
      </c>
      <c r="T155" s="6" t="str">
        <f t="shared" si="75"/>
        <v>No</v>
      </c>
      <c r="U155" s="6"/>
      <c r="V155" s="22" t="s">
        <v>330</v>
      </c>
    </row>
    <row r="156" spans="1:22" ht="28.8" x14ac:dyDescent="0.3">
      <c r="A156" s="6">
        <v>155</v>
      </c>
      <c r="B156" s="1" t="s">
        <v>152</v>
      </c>
      <c r="C156" s="1" t="s">
        <v>328</v>
      </c>
      <c r="D156" s="1" t="s">
        <v>331</v>
      </c>
      <c r="E156" s="1">
        <v>1510002492</v>
      </c>
      <c r="F156" s="8" t="s">
        <v>9</v>
      </c>
      <c r="G156" s="1" t="s">
        <v>155</v>
      </c>
      <c r="H156" s="1" t="s">
        <v>25</v>
      </c>
      <c r="I156" s="11">
        <v>46219</v>
      </c>
      <c r="J156" s="11">
        <v>46227</v>
      </c>
      <c r="K156" s="11">
        <v>46231</v>
      </c>
      <c r="L156" s="11">
        <v>46232</v>
      </c>
      <c r="M156" s="1" t="s">
        <v>26</v>
      </c>
      <c r="N156" s="6">
        <v>9</v>
      </c>
      <c r="O156" s="6">
        <v>5</v>
      </c>
      <c r="P156" s="12">
        <f t="shared" si="76"/>
        <v>46227</v>
      </c>
      <c r="Q156" s="12">
        <f>J156+O156</f>
        <v>46232</v>
      </c>
      <c r="R156" s="15">
        <f>J156-P156</f>
        <v>0</v>
      </c>
      <c r="S156" s="21">
        <f>L156-Q156</f>
        <v>0</v>
      </c>
      <c r="T156" s="23" t="str">
        <f t="shared" si="75"/>
        <v>No</v>
      </c>
      <c r="U156" s="23"/>
      <c r="V156" s="22" t="s">
        <v>332</v>
      </c>
    </row>
    <row r="157" spans="1:22" ht="28.8" x14ac:dyDescent="0.3">
      <c r="A157" s="6">
        <v>156</v>
      </c>
      <c r="B157" s="1" t="s">
        <v>41</v>
      </c>
      <c r="C157" s="1" t="s">
        <v>333</v>
      </c>
      <c r="D157" s="1" t="s">
        <v>334</v>
      </c>
      <c r="E157" s="1">
        <v>1510002476</v>
      </c>
      <c r="F157" s="8" t="s">
        <v>9</v>
      </c>
      <c r="G157" s="1" t="s">
        <v>44</v>
      </c>
      <c r="H157" s="1" t="s">
        <v>25</v>
      </c>
      <c r="I157" s="11">
        <v>46204</v>
      </c>
      <c r="J157" s="11">
        <v>46212</v>
      </c>
      <c r="K157" s="11">
        <v>46214</v>
      </c>
      <c r="L157" s="11">
        <v>46214</v>
      </c>
      <c r="M157" s="1" t="s">
        <v>26</v>
      </c>
      <c r="N157" s="6">
        <v>14</v>
      </c>
      <c r="O157" s="6">
        <v>14</v>
      </c>
      <c r="P157" s="12">
        <f t="shared" si="76"/>
        <v>46217</v>
      </c>
      <c r="Q157" s="12">
        <f t="shared" si="67"/>
        <v>46225</v>
      </c>
      <c r="R157" s="15">
        <f t="shared" si="77"/>
        <v>-5</v>
      </c>
      <c r="S157" s="21">
        <f t="shared" si="78"/>
        <v>-11</v>
      </c>
      <c r="T157" s="6" t="str">
        <f t="shared" si="75"/>
        <v>No</v>
      </c>
      <c r="U157" s="6"/>
      <c r="V157" s="9" t="s">
        <v>335</v>
      </c>
    </row>
    <row r="158" spans="1:22" ht="28.8" x14ac:dyDescent="0.3">
      <c r="A158" s="6">
        <v>157</v>
      </c>
      <c r="B158" s="1" t="s">
        <v>317</v>
      </c>
      <c r="C158" s="1" t="s">
        <v>336</v>
      </c>
      <c r="D158" s="1" t="s">
        <v>337</v>
      </c>
      <c r="E158" s="1">
        <v>1510003047</v>
      </c>
      <c r="F158" s="8" t="s">
        <v>9</v>
      </c>
      <c r="G158" s="1" t="s">
        <v>338</v>
      </c>
      <c r="H158" s="1" t="s">
        <v>25</v>
      </c>
      <c r="I158" s="11">
        <v>46195</v>
      </c>
      <c r="J158" s="11">
        <v>46208</v>
      </c>
      <c r="K158" s="11">
        <v>46210</v>
      </c>
      <c r="L158" s="11">
        <v>46213</v>
      </c>
      <c r="M158" s="1" t="s">
        <v>32</v>
      </c>
      <c r="N158" s="6">
        <v>14</v>
      </c>
      <c r="O158" s="6">
        <v>7</v>
      </c>
      <c r="P158" s="12">
        <f>I158+N158-1</f>
        <v>46208</v>
      </c>
      <c r="Q158" s="12">
        <f t="shared" si="67"/>
        <v>46214</v>
      </c>
      <c r="R158" s="24">
        <f>J158-P158</f>
        <v>0</v>
      </c>
      <c r="S158" s="25">
        <f t="shared" si="78"/>
        <v>-1</v>
      </c>
      <c r="T158" s="23" t="str">
        <f>IF(R158&gt;0,"To Paid","No")</f>
        <v>No</v>
      </c>
      <c r="U158" s="38" t="s">
        <v>321</v>
      </c>
      <c r="V158" s="9" t="s">
        <v>339</v>
      </c>
    </row>
    <row r="159" spans="1:22" ht="28.8" x14ac:dyDescent="0.3">
      <c r="A159" s="6">
        <v>158</v>
      </c>
      <c r="B159" s="1" t="s">
        <v>317</v>
      </c>
      <c r="C159" s="1" t="s">
        <v>336</v>
      </c>
      <c r="D159" s="1" t="s">
        <v>340</v>
      </c>
      <c r="E159" s="1">
        <v>1510003047</v>
      </c>
      <c r="F159" s="8" t="s">
        <v>9</v>
      </c>
      <c r="G159" s="1" t="s">
        <v>341</v>
      </c>
      <c r="H159" s="1" t="s">
        <v>25</v>
      </c>
      <c r="I159" s="11">
        <v>46195</v>
      </c>
      <c r="J159" s="11">
        <v>46208</v>
      </c>
      <c r="K159" s="11">
        <v>46212</v>
      </c>
      <c r="L159" s="11">
        <v>46212</v>
      </c>
      <c r="M159" s="1" t="s">
        <v>32</v>
      </c>
      <c r="N159" s="6">
        <v>14</v>
      </c>
      <c r="O159" s="6">
        <v>7</v>
      </c>
      <c r="P159" s="12">
        <f t="shared" si="76"/>
        <v>46208</v>
      </c>
      <c r="Q159" s="12">
        <f t="shared" si="67"/>
        <v>46214</v>
      </c>
      <c r="R159" s="24">
        <f>J159-P159</f>
        <v>0</v>
      </c>
      <c r="S159" s="25">
        <f t="shared" si="78"/>
        <v>-2</v>
      </c>
      <c r="T159" s="23" t="str">
        <f t="shared" si="75"/>
        <v>No</v>
      </c>
      <c r="U159" s="38" t="s">
        <v>321</v>
      </c>
      <c r="V159" s="9" t="s">
        <v>339</v>
      </c>
    </row>
    <row r="160" spans="1:22" ht="28.8" x14ac:dyDescent="0.3">
      <c r="A160" s="6">
        <v>159</v>
      </c>
      <c r="B160" s="1" t="s">
        <v>317</v>
      </c>
      <c r="C160" s="1" t="s">
        <v>336</v>
      </c>
      <c r="D160" s="1" t="s">
        <v>342</v>
      </c>
      <c r="E160" s="1">
        <v>1510003047</v>
      </c>
      <c r="F160" s="8" t="s">
        <v>9</v>
      </c>
      <c r="G160" s="1" t="s">
        <v>343</v>
      </c>
      <c r="H160" s="1" t="s">
        <v>25</v>
      </c>
      <c r="I160" s="11">
        <v>46195</v>
      </c>
      <c r="J160" s="11">
        <v>46207</v>
      </c>
      <c r="K160" s="11">
        <v>46210</v>
      </c>
      <c r="L160" s="11">
        <v>46210</v>
      </c>
      <c r="M160" s="1" t="s">
        <v>32</v>
      </c>
      <c r="N160" s="6">
        <v>14</v>
      </c>
      <c r="O160" s="6">
        <v>7</v>
      </c>
      <c r="P160" s="12">
        <f t="shared" si="76"/>
        <v>46208</v>
      </c>
      <c r="Q160" s="12">
        <f t="shared" si="67"/>
        <v>46213</v>
      </c>
      <c r="R160" s="24">
        <f>J160-P160</f>
        <v>-1</v>
      </c>
      <c r="S160" s="25">
        <f t="shared" si="78"/>
        <v>-3</v>
      </c>
      <c r="T160" s="23" t="str">
        <f t="shared" si="75"/>
        <v>No</v>
      </c>
      <c r="U160" s="38" t="s">
        <v>321</v>
      </c>
      <c r="V160" s="9" t="s">
        <v>339</v>
      </c>
    </row>
    <row r="161" spans="1:22" ht="28.8" x14ac:dyDescent="0.3">
      <c r="A161" s="6">
        <v>160</v>
      </c>
      <c r="B161" s="1" t="s">
        <v>317</v>
      </c>
      <c r="C161" s="1" t="s">
        <v>336</v>
      </c>
      <c r="D161" s="1" t="s">
        <v>344</v>
      </c>
      <c r="E161" s="1">
        <v>1510003047</v>
      </c>
      <c r="F161" s="8" t="s">
        <v>9</v>
      </c>
      <c r="G161" s="1" t="s">
        <v>345</v>
      </c>
      <c r="H161" s="1" t="s">
        <v>25</v>
      </c>
      <c r="I161" s="11">
        <v>46195</v>
      </c>
      <c r="J161" s="11">
        <v>46208</v>
      </c>
      <c r="K161" s="11">
        <v>46212</v>
      </c>
      <c r="L161" s="11">
        <v>46212</v>
      </c>
      <c r="M161" s="1" t="s">
        <v>32</v>
      </c>
      <c r="N161" s="6">
        <v>14</v>
      </c>
      <c r="O161" s="6">
        <v>7</v>
      </c>
      <c r="P161" s="12">
        <f t="shared" si="76"/>
        <v>46208</v>
      </c>
      <c r="Q161" s="12">
        <f t="shared" si="67"/>
        <v>46214</v>
      </c>
      <c r="R161" s="24">
        <f t="shared" si="77"/>
        <v>0</v>
      </c>
      <c r="S161" s="25">
        <f t="shared" si="78"/>
        <v>-2</v>
      </c>
      <c r="T161" s="23" t="str">
        <f t="shared" si="75"/>
        <v>No</v>
      </c>
      <c r="U161" s="38" t="s">
        <v>321</v>
      </c>
      <c r="V161" s="9" t="s">
        <v>339</v>
      </c>
    </row>
    <row r="162" spans="1:22" ht="28.8" x14ac:dyDescent="0.3">
      <c r="A162" s="6">
        <v>161</v>
      </c>
      <c r="B162" s="1" t="s">
        <v>115</v>
      </c>
      <c r="C162" s="1" t="s">
        <v>346</v>
      </c>
      <c r="D162" s="1" t="s">
        <v>347</v>
      </c>
      <c r="E162" s="1">
        <v>1510003133</v>
      </c>
      <c r="F162" s="8" t="s">
        <v>9</v>
      </c>
      <c r="G162" s="1" t="s">
        <v>348</v>
      </c>
      <c r="H162" s="1" t="s">
        <v>25</v>
      </c>
      <c r="I162" s="11">
        <v>46202</v>
      </c>
      <c r="J162" s="11">
        <v>46207</v>
      </c>
      <c r="K162" s="11">
        <v>46209</v>
      </c>
      <c r="L162" s="11">
        <v>46211</v>
      </c>
      <c r="M162" s="1" t="s">
        <v>32</v>
      </c>
      <c r="N162" s="6">
        <v>20</v>
      </c>
      <c r="O162" s="6">
        <v>15</v>
      </c>
      <c r="P162" s="12">
        <f t="shared" si="76"/>
        <v>46221</v>
      </c>
      <c r="Q162" s="11">
        <f>J162+O162-1</f>
        <v>46221</v>
      </c>
      <c r="R162" s="24">
        <f>J162-P162</f>
        <v>-14</v>
      </c>
      <c r="S162" s="25">
        <f>L162-Q162</f>
        <v>-10</v>
      </c>
      <c r="T162" s="23" t="str">
        <f t="shared" si="75"/>
        <v>No</v>
      </c>
      <c r="U162" s="23"/>
      <c r="V162" s="9" t="s">
        <v>349</v>
      </c>
    </row>
    <row r="163" spans="1:22" x14ac:dyDescent="0.3">
      <c r="A163" s="6">
        <v>162</v>
      </c>
      <c r="B163" s="1" t="s">
        <v>350</v>
      </c>
      <c r="C163" s="1" t="s">
        <v>351</v>
      </c>
      <c r="D163" s="1" t="s">
        <v>352</v>
      </c>
      <c r="E163" s="1">
        <v>1510003130</v>
      </c>
      <c r="F163" s="8" t="s">
        <v>9</v>
      </c>
      <c r="G163" s="1" t="s">
        <v>353</v>
      </c>
      <c r="H163" s="1" t="s">
        <v>25</v>
      </c>
      <c r="I163" s="12">
        <v>46200</v>
      </c>
      <c r="J163" s="12">
        <v>46207</v>
      </c>
      <c r="K163" s="12">
        <v>46210</v>
      </c>
      <c r="L163" s="12">
        <v>46211</v>
      </c>
      <c r="M163" s="1" t="s">
        <v>32</v>
      </c>
      <c r="N163" s="6">
        <v>20</v>
      </c>
      <c r="O163" s="6">
        <v>15</v>
      </c>
      <c r="P163" s="12">
        <f t="shared" si="76"/>
        <v>46219</v>
      </c>
      <c r="Q163" s="11">
        <f>J163+O163-1</f>
        <v>46221</v>
      </c>
      <c r="R163" s="24">
        <f>J163-P163</f>
        <v>-12</v>
      </c>
      <c r="S163" s="25">
        <f>L163-Q163</f>
        <v>-10</v>
      </c>
      <c r="T163" s="23" t="str">
        <f t="shared" si="75"/>
        <v>No</v>
      </c>
      <c r="U163" s="23"/>
      <c r="V163" s="1" t="s">
        <v>354</v>
      </c>
    </row>
    <row r="164" spans="1:22" x14ac:dyDescent="0.3">
      <c r="A164" s="6">
        <v>163</v>
      </c>
      <c r="B164" s="1" t="s">
        <v>350</v>
      </c>
      <c r="C164" s="1" t="s">
        <v>355</v>
      </c>
      <c r="D164" s="1" t="s">
        <v>356</v>
      </c>
      <c r="E164" s="1">
        <v>1510003264</v>
      </c>
      <c r="F164" s="8" t="s">
        <v>9</v>
      </c>
      <c r="G164" s="1" t="s">
        <v>357</v>
      </c>
      <c r="H164" s="1" t="s">
        <v>25</v>
      </c>
      <c r="I164" s="11">
        <v>46202</v>
      </c>
      <c r="J164" s="11">
        <v>46206</v>
      </c>
      <c r="K164" s="11">
        <v>46210</v>
      </c>
      <c r="L164" s="11">
        <v>46211</v>
      </c>
      <c r="M164" s="1" t="s">
        <v>32</v>
      </c>
      <c r="N164" s="6">
        <v>20</v>
      </c>
      <c r="O164" s="6">
        <v>15</v>
      </c>
      <c r="P164" s="12">
        <f t="shared" si="76"/>
        <v>46221</v>
      </c>
      <c r="Q164" s="11">
        <f>J164+O164-1</f>
        <v>46220</v>
      </c>
      <c r="R164" s="24">
        <f>J164-P164</f>
        <v>-15</v>
      </c>
      <c r="S164" s="25">
        <f>L164-Q164</f>
        <v>-9</v>
      </c>
      <c r="T164" s="23" t="str">
        <f t="shared" si="75"/>
        <v>No</v>
      </c>
      <c r="U164" s="23"/>
      <c r="V164" s="1" t="s">
        <v>358</v>
      </c>
    </row>
    <row r="165" spans="1:22" x14ac:dyDescent="0.3">
      <c r="A165" s="6">
        <v>164</v>
      </c>
      <c r="B165" s="1" t="s">
        <v>21</v>
      </c>
      <c r="C165" s="1" t="s">
        <v>359</v>
      </c>
      <c r="D165" s="1" t="s">
        <v>360</v>
      </c>
      <c r="E165" s="1">
        <v>9700018300</v>
      </c>
      <c r="F165" s="8" t="s">
        <v>9</v>
      </c>
      <c r="G165" s="1" t="s">
        <v>361</v>
      </c>
      <c r="H165" s="1" t="s">
        <v>25</v>
      </c>
      <c r="I165" s="11">
        <v>46208</v>
      </c>
      <c r="J165" s="11">
        <v>46217</v>
      </c>
      <c r="K165" s="11">
        <v>46220</v>
      </c>
      <c r="L165" s="11">
        <v>46220</v>
      </c>
      <c r="M165" s="1" t="s">
        <v>26</v>
      </c>
      <c r="N165" s="6">
        <v>10</v>
      </c>
      <c r="O165" s="6">
        <v>14</v>
      </c>
      <c r="P165" s="12">
        <f t="shared" si="76"/>
        <v>46217</v>
      </c>
      <c r="Q165" s="12">
        <f t="shared" si="67"/>
        <v>46230</v>
      </c>
      <c r="R165" s="24">
        <f>J165-P165</f>
        <v>0</v>
      </c>
      <c r="S165" s="25">
        <f>L165-Q165</f>
        <v>-10</v>
      </c>
      <c r="T165" s="23" t="str">
        <f t="shared" si="75"/>
        <v>No</v>
      </c>
      <c r="U165" s="23"/>
      <c r="V165" s="1" t="s">
        <v>362</v>
      </c>
    </row>
    <row r="166" spans="1:22" x14ac:dyDescent="0.3">
      <c r="A166" s="6">
        <v>165</v>
      </c>
      <c r="B166" s="1" t="s">
        <v>21</v>
      </c>
      <c r="C166" s="1" t="s">
        <v>359</v>
      </c>
      <c r="D166" s="1" t="s">
        <v>363</v>
      </c>
      <c r="E166" s="1">
        <v>9700018300</v>
      </c>
      <c r="F166" s="8" t="s">
        <v>9</v>
      </c>
      <c r="G166" s="1" t="s">
        <v>361</v>
      </c>
      <c r="H166" s="1" t="s">
        <v>25</v>
      </c>
      <c r="I166" s="11">
        <v>46208</v>
      </c>
      <c r="J166" s="11">
        <v>46218</v>
      </c>
      <c r="K166" s="11">
        <v>46220</v>
      </c>
      <c r="L166" s="11">
        <v>46220</v>
      </c>
      <c r="M166" s="1" t="s">
        <v>26</v>
      </c>
      <c r="N166" s="6">
        <v>10</v>
      </c>
      <c r="O166" s="6">
        <v>14</v>
      </c>
      <c r="P166" s="12">
        <f t="shared" ref="P166:Q229" si="79">I166+N166-1</f>
        <v>46217</v>
      </c>
      <c r="Q166" s="12">
        <f t="shared" si="67"/>
        <v>46231</v>
      </c>
      <c r="R166" s="24">
        <f>J166-P166</f>
        <v>1</v>
      </c>
      <c r="S166" s="25">
        <f t="shared" ref="S166:S226" si="80">L166-Q166</f>
        <v>-11</v>
      </c>
      <c r="T166" s="23" t="str">
        <f t="shared" si="75"/>
        <v>To Paid</v>
      </c>
      <c r="U166" s="23"/>
      <c r="V166" s="1" t="s">
        <v>362</v>
      </c>
    </row>
    <row r="167" spans="1:22" x14ac:dyDescent="0.3">
      <c r="A167" s="6">
        <v>166</v>
      </c>
      <c r="B167" s="1" t="s">
        <v>21</v>
      </c>
      <c r="C167" s="1" t="s">
        <v>359</v>
      </c>
      <c r="D167" s="1" t="s">
        <v>364</v>
      </c>
      <c r="E167" s="1">
        <v>9700018300</v>
      </c>
      <c r="F167" s="8" t="s">
        <v>9</v>
      </c>
      <c r="G167" s="1" t="s">
        <v>361</v>
      </c>
      <c r="H167" s="1" t="s">
        <v>25</v>
      </c>
      <c r="I167" s="11">
        <v>46208</v>
      </c>
      <c r="J167" s="11">
        <v>46219</v>
      </c>
      <c r="K167" s="11">
        <v>46224</v>
      </c>
      <c r="L167" s="11">
        <v>46225</v>
      </c>
      <c r="M167" s="1" t="s">
        <v>26</v>
      </c>
      <c r="N167" s="6">
        <v>10</v>
      </c>
      <c r="O167" s="6">
        <v>14</v>
      </c>
      <c r="P167" s="12">
        <f t="shared" si="79"/>
        <v>46217</v>
      </c>
      <c r="Q167" s="12">
        <f t="shared" si="67"/>
        <v>46232</v>
      </c>
      <c r="R167" s="24">
        <f t="shared" ref="R167:R230" si="81">J167-P167</f>
        <v>2</v>
      </c>
      <c r="S167" s="25">
        <f t="shared" si="80"/>
        <v>-7</v>
      </c>
      <c r="T167" s="23" t="str">
        <f t="shared" si="75"/>
        <v>To Paid</v>
      </c>
      <c r="U167" s="23"/>
      <c r="V167" s="1" t="s">
        <v>365</v>
      </c>
    </row>
    <row r="168" spans="1:22" x14ac:dyDescent="0.3">
      <c r="A168" s="6">
        <v>167</v>
      </c>
      <c r="B168" s="1" t="s">
        <v>21</v>
      </c>
      <c r="C168" s="1" t="s">
        <v>359</v>
      </c>
      <c r="D168" s="1" t="s">
        <v>366</v>
      </c>
      <c r="E168" s="1">
        <v>9700018300</v>
      </c>
      <c r="F168" s="8" t="s">
        <v>9</v>
      </c>
      <c r="G168" s="1" t="s">
        <v>361</v>
      </c>
      <c r="H168" s="1" t="s">
        <v>25</v>
      </c>
      <c r="I168" s="11">
        <v>46208</v>
      </c>
      <c r="J168" s="11">
        <v>46220</v>
      </c>
      <c r="K168" s="11">
        <v>46219</v>
      </c>
      <c r="L168" s="11">
        <v>46225</v>
      </c>
      <c r="M168" s="1" t="s">
        <v>26</v>
      </c>
      <c r="N168" s="6">
        <v>10</v>
      </c>
      <c r="O168" s="6">
        <v>14</v>
      </c>
      <c r="P168" s="12">
        <f t="shared" si="79"/>
        <v>46217</v>
      </c>
      <c r="Q168" s="12">
        <f t="shared" si="67"/>
        <v>46233</v>
      </c>
      <c r="R168" s="24">
        <f t="shared" si="81"/>
        <v>3</v>
      </c>
      <c r="S168" s="25">
        <f t="shared" si="80"/>
        <v>-8</v>
      </c>
      <c r="T168" s="23" t="str">
        <f t="shared" si="75"/>
        <v>To Paid</v>
      </c>
      <c r="U168" s="23"/>
      <c r="V168" s="1" t="s">
        <v>367</v>
      </c>
    </row>
    <row r="169" spans="1:22" x14ac:dyDescent="0.3">
      <c r="A169" s="6">
        <v>168</v>
      </c>
      <c r="B169" s="1" t="s">
        <v>21</v>
      </c>
      <c r="C169" s="1" t="s">
        <v>359</v>
      </c>
      <c r="D169" s="1" t="s">
        <v>368</v>
      </c>
      <c r="E169" s="1">
        <v>9700018300</v>
      </c>
      <c r="F169" s="8" t="s">
        <v>9</v>
      </c>
      <c r="G169" s="1" t="s">
        <v>369</v>
      </c>
      <c r="H169" s="1" t="s">
        <v>25</v>
      </c>
      <c r="I169" s="11">
        <v>46208</v>
      </c>
      <c r="J169" s="11">
        <v>46217</v>
      </c>
      <c r="K169" s="11">
        <v>46218</v>
      </c>
      <c r="L169" s="11">
        <v>46218</v>
      </c>
      <c r="M169" s="1" t="s">
        <v>26</v>
      </c>
      <c r="N169" s="6">
        <v>10</v>
      </c>
      <c r="O169" s="6">
        <v>14</v>
      </c>
      <c r="P169" s="12">
        <f t="shared" si="79"/>
        <v>46217</v>
      </c>
      <c r="Q169" s="12">
        <f t="shared" si="67"/>
        <v>46230</v>
      </c>
      <c r="R169" s="24">
        <f t="shared" si="81"/>
        <v>0</v>
      </c>
      <c r="S169" s="25">
        <f t="shared" si="80"/>
        <v>-12</v>
      </c>
      <c r="T169" s="23" t="str">
        <f t="shared" si="75"/>
        <v>No</v>
      </c>
      <c r="U169" s="23"/>
      <c r="V169" s="1" t="s">
        <v>362</v>
      </c>
    </row>
    <row r="170" spans="1:22" x14ac:dyDescent="0.3">
      <c r="A170" s="6">
        <v>169</v>
      </c>
      <c r="B170" s="1" t="s">
        <v>21</v>
      </c>
      <c r="C170" s="1" t="s">
        <v>359</v>
      </c>
      <c r="D170" s="1" t="s">
        <v>370</v>
      </c>
      <c r="E170" s="1">
        <v>9700018300</v>
      </c>
      <c r="F170" s="8" t="s">
        <v>9</v>
      </c>
      <c r="G170" s="1" t="s">
        <v>371</v>
      </c>
      <c r="H170" s="1" t="s">
        <v>25</v>
      </c>
      <c r="I170" s="11">
        <v>46208</v>
      </c>
      <c r="J170" s="11">
        <v>46217</v>
      </c>
      <c r="K170" s="11">
        <v>46218</v>
      </c>
      <c r="L170" s="11">
        <v>46218</v>
      </c>
      <c r="M170" s="1" t="s">
        <v>26</v>
      </c>
      <c r="N170" s="6">
        <v>10</v>
      </c>
      <c r="O170" s="6">
        <v>14</v>
      </c>
      <c r="P170" s="12">
        <f t="shared" si="79"/>
        <v>46217</v>
      </c>
      <c r="Q170" s="12">
        <f t="shared" si="67"/>
        <v>46230</v>
      </c>
      <c r="R170" s="24">
        <f t="shared" si="81"/>
        <v>0</v>
      </c>
      <c r="S170" s="25">
        <f t="shared" si="80"/>
        <v>-12</v>
      </c>
      <c r="T170" s="23" t="str">
        <f t="shared" si="75"/>
        <v>No</v>
      </c>
      <c r="U170" s="23"/>
      <c r="V170" s="1" t="s">
        <v>362</v>
      </c>
    </row>
    <row r="171" spans="1:22" x14ac:dyDescent="0.3">
      <c r="A171" s="6">
        <v>170</v>
      </c>
      <c r="B171" s="1" t="s">
        <v>21</v>
      </c>
      <c r="C171" s="1" t="s">
        <v>359</v>
      </c>
      <c r="D171" s="1" t="s">
        <v>372</v>
      </c>
      <c r="E171" s="1">
        <v>9700018300</v>
      </c>
      <c r="F171" s="8" t="s">
        <v>9</v>
      </c>
      <c r="G171" s="1" t="s">
        <v>369</v>
      </c>
      <c r="H171" s="1" t="s">
        <v>25</v>
      </c>
      <c r="I171" s="11">
        <v>46208</v>
      </c>
      <c r="J171" s="11">
        <v>46218</v>
      </c>
      <c r="K171" s="11">
        <v>46220</v>
      </c>
      <c r="L171" s="11">
        <v>46221</v>
      </c>
      <c r="M171" s="1" t="s">
        <v>26</v>
      </c>
      <c r="N171" s="6">
        <v>10</v>
      </c>
      <c r="O171" s="6">
        <v>14</v>
      </c>
      <c r="P171" s="12">
        <f t="shared" si="79"/>
        <v>46217</v>
      </c>
      <c r="Q171" s="12">
        <f t="shared" si="67"/>
        <v>46231</v>
      </c>
      <c r="R171" s="24">
        <f t="shared" si="81"/>
        <v>1</v>
      </c>
      <c r="S171" s="25">
        <f t="shared" si="80"/>
        <v>-10</v>
      </c>
      <c r="T171" s="23" t="str">
        <f t="shared" si="75"/>
        <v>To Paid</v>
      </c>
      <c r="U171" s="23"/>
      <c r="V171" s="1" t="s">
        <v>362</v>
      </c>
    </row>
    <row r="172" spans="1:22" x14ac:dyDescent="0.3">
      <c r="A172" s="6">
        <v>171</v>
      </c>
      <c r="B172" s="1" t="s">
        <v>21</v>
      </c>
      <c r="C172" s="1" t="s">
        <v>359</v>
      </c>
      <c r="D172" s="1" t="s">
        <v>373</v>
      </c>
      <c r="E172" s="1">
        <v>9700018300</v>
      </c>
      <c r="F172" s="8" t="s">
        <v>9</v>
      </c>
      <c r="G172" s="1" t="s">
        <v>369</v>
      </c>
      <c r="H172" s="1" t="s">
        <v>25</v>
      </c>
      <c r="I172" s="11">
        <v>46208</v>
      </c>
      <c r="J172" s="11">
        <v>46219</v>
      </c>
      <c r="K172" s="11">
        <v>46223</v>
      </c>
      <c r="L172" s="11">
        <v>46224</v>
      </c>
      <c r="M172" s="1" t="s">
        <v>26</v>
      </c>
      <c r="N172" s="6">
        <v>10</v>
      </c>
      <c r="O172" s="6">
        <v>14</v>
      </c>
      <c r="P172" s="12">
        <f t="shared" si="79"/>
        <v>46217</v>
      </c>
      <c r="Q172" s="12">
        <f t="shared" si="67"/>
        <v>46232</v>
      </c>
      <c r="R172" s="24">
        <f t="shared" si="81"/>
        <v>2</v>
      </c>
      <c r="S172" s="25">
        <f t="shared" si="80"/>
        <v>-8</v>
      </c>
      <c r="T172" s="23" t="str">
        <f t="shared" si="75"/>
        <v>To Paid</v>
      </c>
      <c r="U172" s="23"/>
      <c r="V172" s="1" t="s">
        <v>365</v>
      </c>
    </row>
    <row r="173" spans="1:22" x14ac:dyDescent="0.3">
      <c r="A173" s="6">
        <v>172</v>
      </c>
      <c r="B173" s="1" t="s">
        <v>21</v>
      </c>
      <c r="C173" s="1" t="s">
        <v>359</v>
      </c>
      <c r="D173" s="1" t="s">
        <v>374</v>
      </c>
      <c r="E173" s="1">
        <v>9700018300</v>
      </c>
      <c r="F173" s="8" t="s">
        <v>9</v>
      </c>
      <c r="G173" s="1" t="s">
        <v>375</v>
      </c>
      <c r="H173" s="1" t="s">
        <v>25</v>
      </c>
      <c r="I173" s="11">
        <v>46208</v>
      </c>
      <c r="J173" s="11">
        <v>46219</v>
      </c>
      <c r="K173" s="11">
        <v>46224</v>
      </c>
      <c r="L173" s="11">
        <v>46225</v>
      </c>
      <c r="M173" s="1" t="s">
        <v>26</v>
      </c>
      <c r="N173" s="6">
        <v>10</v>
      </c>
      <c r="O173" s="6">
        <v>14</v>
      </c>
      <c r="P173" s="12">
        <f t="shared" si="79"/>
        <v>46217</v>
      </c>
      <c r="Q173" s="12">
        <f t="shared" si="67"/>
        <v>46232</v>
      </c>
      <c r="R173" s="24">
        <f t="shared" si="81"/>
        <v>2</v>
      </c>
      <c r="S173" s="25">
        <f t="shared" si="80"/>
        <v>-7</v>
      </c>
      <c r="T173" s="23" t="str">
        <f t="shared" si="75"/>
        <v>To Paid</v>
      </c>
      <c r="U173" s="23"/>
      <c r="V173" s="1" t="s">
        <v>365</v>
      </c>
    </row>
    <row r="174" spans="1:22" x14ac:dyDescent="0.3">
      <c r="A174" s="6">
        <v>173</v>
      </c>
      <c r="B174" s="1" t="s">
        <v>21</v>
      </c>
      <c r="C174" s="1" t="s">
        <v>359</v>
      </c>
      <c r="D174" s="1" t="s">
        <v>376</v>
      </c>
      <c r="E174" s="1">
        <v>9700018300</v>
      </c>
      <c r="F174" s="8" t="s">
        <v>9</v>
      </c>
      <c r="G174" s="1" t="s">
        <v>377</v>
      </c>
      <c r="H174" s="1" t="s">
        <v>25</v>
      </c>
      <c r="I174" s="11">
        <v>46208</v>
      </c>
      <c r="J174" s="11">
        <v>46219</v>
      </c>
      <c r="K174" s="11">
        <v>46220</v>
      </c>
      <c r="L174" s="11">
        <v>46220</v>
      </c>
      <c r="M174" s="1" t="s">
        <v>26</v>
      </c>
      <c r="N174" s="6">
        <v>10</v>
      </c>
      <c r="O174" s="6">
        <v>14</v>
      </c>
      <c r="P174" s="12">
        <f t="shared" si="79"/>
        <v>46217</v>
      </c>
      <c r="Q174" s="12">
        <f t="shared" si="67"/>
        <v>46232</v>
      </c>
      <c r="R174" s="24">
        <f t="shared" si="81"/>
        <v>2</v>
      </c>
      <c r="S174" s="25">
        <f t="shared" si="80"/>
        <v>-12</v>
      </c>
      <c r="T174" s="23" t="str">
        <f t="shared" si="75"/>
        <v>To Paid</v>
      </c>
      <c r="U174" s="23"/>
      <c r="V174" s="1" t="s">
        <v>365</v>
      </c>
    </row>
    <row r="175" spans="1:22" x14ac:dyDescent="0.3">
      <c r="A175" s="6">
        <v>174</v>
      </c>
      <c r="B175" s="1" t="s">
        <v>21</v>
      </c>
      <c r="C175" s="1" t="s">
        <v>359</v>
      </c>
      <c r="D175" s="1" t="s">
        <v>378</v>
      </c>
      <c r="E175" s="1">
        <v>9700018300</v>
      </c>
      <c r="F175" s="8" t="s">
        <v>9</v>
      </c>
      <c r="G175" s="1" t="s">
        <v>377</v>
      </c>
      <c r="H175" s="1" t="s">
        <v>25</v>
      </c>
      <c r="I175" s="11">
        <v>46208</v>
      </c>
      <c r="J175" s="11">
        <v>46218</v>
      </c>
      <c r="K175" s="11">
        <v>46219</v>
      </c>
      <c r="L175" s="11">
        <v>46219</v>
      </c>
      <c r="M175" s="1" t="s">
        <v>26</v>
      </c>
      <c r="N175" s="6">
        <v>10</v>
      </c>
      <c r="O175" s="6">
        <v>14</v>
      </c>
      <c r="P175" s="12">
        <f t="shared" si="79"/>
        <v>46217</v>
      </c>
      <c r="Q175" s="12">
        <f t="shared" si="67"/>
        <v>46231</v>
      </c>
      <c r="R175" s="24">
        <f t="shared" si="81"/>
        <v>1</v>
      </c>
      <c r="S175" s="25">
        <f t="shared" si="80"/>
        <v>-12</v>
      </c>
      <c r="T175" s="23" t="str">
        <f t="shared" si="75"/>
        <v>To Paid</v>
      </c>
      <c r="U175" s="23"/>
      <c r="V175" s="1" t="s">
        <v>362</v>
      </c>
    </row>
    <row r="176" spans="1:22" x14ac:dyDescent="0.3">
      <c r="A176" s="6">
        <v>175</v>
      </c>
      <c r="B176" s="1" t="s">
        <v>21</v>
      </c>
      <c r="C176" s="1" t="s">
        <v>359</v>
      </c>
      <c r="D176" s="1" t="s">
        <v>379</v>
      </c>
      <c r="E176" s="1">
        <v>9700018300</v>
      </c>
      <c r="F176" s="8" t="s">
        <v>9</v>
      </c>
      <c r="G176" s="1" t="s">
        <v>380</v>
      </c>
      <c r="H176" s="1" t="s">
        <v>25</v>
      </c>
      <c r="I176" s="11">
        <v>46208</v>
      </c>
      <c r="J176" s="11">
        <v>46218</v>
      </c>
      <c r="K176" s="11">
        <v>46223</v>
      </c>
      <c r="L176" s="11">
        <v>46224</v>
      </c>
      <c r="M176" s="1" t="s">
        <v>26</v>
      </c>
      <c r="N176" s="6">
        <v>10</v>
      </c>
      <c r="O176" s="6">
        <v>14</v>
      </c>
      <c r="P176" s="12">
        <f t="shared" si="79"/>
        <v>46217</v>
      </c>
      <c r="Q176" s="12">
        <f t="shared" si="67"/>
        <v>46231</v>
      </c>
      <c r="R176" s="24">
        <f t="shared" si="81"/>
        <v>1</v>
      </c>
      <c r="S176" s="25">
        <f t="shared" si="80"/>
        <v>-7</v>
      </c>
      <c r="T176" s="23" t="str">
        <f t="shared" si="75"/>
        <v>To Paid</v>
      </c>
      <c r="U176" s="23"/>
      <c r="V176" s="1" t="s">
        <v>362</v>
      </c>
    </row>
    <row r="177" spans="1:22" x14ac:dyDescent="0.3">
      <c r="A177" s="6">
        <v>176</v>
      </c>
      <c r="B177" s="1" t="s">
        <v>21</v>
      </c>
      <c r="C177" s="1" t="s">
        <v>359</v>
      </c>
      <c r="D177" s="1" t="s">
        <v>381</v>
      </c>
      <c r="E177" s="1">
        <v>9700018300</v>
      </c>
      <c r="F177" s="8" t="s">
        <v>9</v>
      </c>
      <c r="G177" s="1" t="s">
        <v>375</v>
      </c>
      <c r="H177" s="1" t="s">
        <v>25</v>
      </c>
      <c r="I177" s="11">
        <v>46208</v>
      </c>
      <c r="J177" s="11">
        <v>46220</v>
      </c>
      <c r="K177" s="11">
        <v>46226</v>
      </c>
      <c r="L177" s="11">
        <v>46226</v>
      </c>
      <c r="M177" s="1" t="s">
        <v>26</v>
      </c>
      <c r="N177" s="6">
        <v>10</v>
      </c>
      <c r="O177" s="6">
        <v>14</v>
      </c>
      <c r="P177" s="12">
        <f t="shared" si="79"/>
        <v>46217</v>
      </c>
      <c r="Q177" s="12">
        <f t="shared" si="67"/>
        <v>46233</v>
      </c>
      <c r="R177" s="24">
        <f t="shared" si="81"/>
        <v>3</v>
      </c>
      <c r="S177" s="25">
        <f t="shared" si="80"/>
        <v>-7</v>
      </c>
      <c r="T177" s="23" t="str">
        <f t="shared" si="75"/>
        <v>To Paid</v>
      </c>
      <c r="U177" s="23"/>
      <c r="V177" s="1" t="s">
        <v>382</v>
      </c>
    </row>
    <row r="178" spans="1:22" x14ac:dyDescent="0.3">
      <c r="A178" s="6">
        <v>177</v>
      </c>
      <c r="B178" s="1" t="s">
        <v>21</v>
      </c>
      <c r="C178" s="1" t="s">
        <v>359</v>
      </c>
      <c r="D178" s="1" t="s">
        <v>383</v>
      </c>
      <c r="E178" s="1">
        <v>9700018300</v>
      </c>
      <c r="F178" s="8" t="s">
        <v>9</v>
      </c>
      <c r="G178" s="1" t="s">
        <v>375</v>
      </c>
      <c r="H178" s="1" t="s">
        <v>25</v>
      </c>
      <c r="I178" s="11">
        <v>46208</v>
      </c>
      <c r="J178" s="11">
        <v>46217</v>
      </c>
      <c r="K178" s="11">
        <v>46223</v>
      </c>
      <c r="L178" s="11">
        <v>46224</v>
      </c>
      <c r="M178" s="1" t="s">
        <v>26</v>
      </c>
      <c r="N178" s="6">
        <v>10</v>
      </c>
      <c r="O178" s="6">
        <v>14</v>
      </c>
      <c r="P178" s="12">
        <f t="shared" si="79"/>
        <v>46217</v>
      </c>
      <c r="Q178" s="12">
        <f t="shared" si="67"/>
        <v>46230</v>
      </c>
      <c r="R178" s="24">
        <f t="shared" si="81"/>
        <v>0</v>
      </c>
      <c r="S178" s="25">
        <f t="shared" si="80"/>
        <v>-6</v>
      </c>
      <c r="T178" s="23" t="str">
        <f t="shared" si="75"/>
        <v>No</v>
      </c>
      <c r="U178" s="23"/>
      <c r="V178" s="1" t="s">
        <v>362</v>
      </c>
    </row>
    <row r="179" spans="1:22" x14ac:dyDescent="0.3">
      <c r="A179" s="6">
        <v>178</v>
      </c>
      <c r="B179" s="1" t="s">
        <v>21</v>
      </c>
      <c r="C179" s="1" t="s">
        <v>359</v>
      </c>
      <c r="D179" s="1" t="s">
        <v>384</v>
      </c>
      <c r="E179" s="1">
        <v>9700018300</v>
      </c>
      <c r="F179" s="8" t="s">
        <v>9</v>
      </c>
      <c r="G179" s="1" t="s">
        <v>377</v>
      </c>
      <c r="H179" s="1" t="s">
        <v>25</v>
      </c>
      <c r="I179" s="11">
        <v>46208</v>
      </c>
      <c r="J179" s="11">
        <v>46220</v>
      </c>
      <c r="K179" s="11">
        <v>46223</v>
      </c>
      <c r="L179" s="11">
        <v>46223</v>
      </c>
      <c r="M179" s="1" t="s">
        <v>26</v>
      </c>
      <c r="N179" s="6">
        <v>10</v>
      </c>
      <c r="O179" s="6">
        <v>14</v>
      </c>
      <c r="P179" s="12">
        <f t="shared" si="79"/>
        <v>46217</v>
      </c>
      <c r="Q179" s="12">
        <f t="shared" si="67"/>
        <v>46233</v>
      </c>
      <c r="R179" s="24">
        <f t="shared" si="81"/>
        <v>3</v>
      </c>
      <c r="S179" s="25">
        <f t="shared" si="80"/>
        <v>-10</v>
      </c>
      <c r="T179" s="23" t="str">
        <f t="shared" si="75"/>
        <v>To Paid</v>
      </c>
      <c r="U179" s="23"/>
      <c r="V179" s="1" t="s">
        <v>367</v>
      </c>
    </row>
    <row r="180" spans="1:22" x14ac:dyDescent="0.3">
      <c r="A180" s="6">
        <v>179</v>
      </c>
      <c r="B180" s="1" t="s">
        <v>21</v>
      </c>
      <c r="C180" s="1" t="s">
        <v>385</v>
      </c>
      <c r="D180" s="1" t="s">
        <v>386</v>
      </c>
      <c r="E180" s="1">
        <v>9700018301</v>
      </c>
      <c r="F180" s="8" t="s">
        <v>9</v>
      </c>
      <c r="G180" s="1" t="s">
        <v>361</v>
      </c>
      <c r="H180" s="1" t="s">
        <v>25</v>
      </c>
      <c r="I180" s="11">
        <v>46208</v>
      </c>
      <c r="J180" s="11">
        <v>46214</v>
      </c>
      <c r="K180" s="11">
        <v>46217</v>
      </c>
      <c r="L180" s="11">
        <v>46218</v>
      </c>
      <c r="M180" s="1" t="s">
        <v>26</v>
      </c>
      <c r="N180" s="6">
        <v>10</v>
      </c>
      <c r="O180" s="6">
        <v>14</v>
      </c>
      <c r="P180" s="12">
        <f t="shared" si="79"/>
        <v>46217</v>
      </c>
      <c r="Q180" s="12">
        <f t="shared" si="67"/>
        <v>46227</v>
      </c>
      <c r="R180" s="24">
        <f t="shared" si="81"/>
        <v>-3</v>
      </c>
      <c r="S180" s="25">
        <f>L180-Q180</f>
        <v>-9</v>
      </c>
      <c r="T180" s="23" t="str">
        <f t="shared" si="75"/>
        <v>No</v>
      </c>
      <c r="U180" s="23"/>
      <c r="V180" s="1" t="s">
        <v>387</v>
      </c>
    </row>
    <row r="181" spans="1:22" x14ac:dyDescent="0.3">
      <c r="A181" s="6">
        <v>180</v>
      </c>
      <c r="B181" s="1" t="s">
        <v>21</v>
      </c>
      <c r="C181" s="1" t="s">
        <v>385</v>
      </c>
      <c r="D181" s="1" t="s">
        <v>388</v>
      </c>
      <c r="E181" s="1">
        <v>9700018301</v>
      </c>
      <c r="F181" s="8" t="s">
        <v>9</v>
      </c>
      <c r="G181" s="1" t="s">
        <v>361</v>
      </c>
      <c r="H181" s="1" t="s">
        <v>25</v>
      </c>
      <c r="I181" s="11">
        <v>46208</v>
      </c>
      <c r="J181" s="11">
        <v>46214</v>
      </c>
      <c r="K181" s="11">
        <v>46217</v>
      </c>
      <c r="L181" s="11">
        <v>46218</v>
      </c>
      <c r="M181" s="1" t="s">
        <v>26</v>
      </c>
      <c r="N181" s="6">
        <v>10</v>
      </c>
      <c r="O181" s="6">
        <v>14</v>
      </c>
      <c r="P181" s="12">
        <f t="shared" si="79"/>
        <v>46217</v>
      </c>
      <c r="Q181" s="12">
        <f t="shared" si="67"/>
        <v>46227</v>
      </c>
      <c r="R181" s="24">
        <f t="shared" si="81"/>
        <v>-3</v>
      </c>
      <c r="S181" s="25">
        <f t="shared" si="80"/>
        <v>-9</v>
      </c>
      <c r="T181" s="23" t="str">
        <f t="shared" si="75"/>
        <v>No</v>
      </c>
      <c r="U181" s="23"/>
      <c r="V181" s="1" t="s">
        <v>387</v>
      </c>
    </row>
    <row r="182" spans="1:22" x14ac:dyDescent="0.3">
      <c r="A182" s="6">
        <v>181</v>
      </c>
      <c r="B182" s="1" t="s">
        <v>21</v>
      </c>
      <c r="C182" s="1" t="s">
        <v>385</v>
      </c>
      <c r="D182" s="1" t="s">
        <v>389</v>
      </c>
      <c r="E182" s="1">
        <v>9700018301</v>
      </c>
      <c r="F182" s="8" t="s">
        <v>9</v>
      </c>
      <c r="G182" s="1" t="s">
        <v>361</v>
      </c>
      <c r="H182" s="1" t="s">
        <v>25</v>
      </c>
      <c r="I182" s="11">
        <v>46208</v>
      </c>
      <c r="J182" s="11">
        <v>46214</v>
      </c>
      <c r="K182" s="11">
        <v>46215</v>
      </c>
      <c r="L182" s="11">
        <v>46216</v>
      </c>
      <c r="M182" s="1" t="s">
        <v>26</v>
      </c>
      <c r="N182" s="6">
        <v>10</v>
      </c>
      <c r="O182" s="6">
        <v>14</v>
      </c>
      <c r="P182" s="12">
        <f t="shared" si="79"/>
        <v>46217</v>
      </c>
      <c r="Q182" s="12">
        <f t="shared" si="67"/>
        <v>46227</v>
      </c>
      <c r="R182" s="24">
        <f t="shared" si="81"/>
        <v>-3</v>
      </c>
      <c r="S182" s="25">
        <f t="shared" si="80"/>
        <v>-11</v>
      </c>
      <c r="T182" s="23" t="str">
        <f t="shared" si="75"/>
        <v>No</v>
      </c>
      <c r="U182" s="23"/>
      <c r="V182" s="1" t="s">
        <v>387</v>
      </c>
    </row>
    <row r="183" spans="1:22" x14ac:dyDescent="0.3">
      <c r="A183" s="6">
        <v>182</v>
      </c>
      <c r="B183" s="1" t="s">
        <v>21</v>
      </c>
      <c r="C183" s="1" t="s">
        <v>385</v>
      </c>
      <c r="D183" s="1" t="s">
        <v>390</v>
      </c>
      <c r="E183" s="1">
        <v>9700018301</v>
      </c>
      <c r="F183" s="8" t="s">
        <v>9</v>
      </c>
      <c r="G183" s="1" t="s">
        <v>361</v>
      </c>
      <c r="H183" s="1" t="s">
        <v>25</v>
      </c>
      <c r="I183" s="11">
        <v>46208</v>
      </c>
      <c r="J183" s="11">
        <v>46214</v>
      </c>
      <c r="K183" s="11">
        <v>46218</v>
      </c>
      <c r="L183" s="11">
        <v>46219</v>
      </c>
      <c r="M183" s="1" t="s">
        <v>26</v>
      </c>
      <c r="N183" s="6">
        <v>10</v>
      </c>
      <c r="O183" s="6">
        <v>14</v>
      </c>
      <c r="P183" s="12">
        <f t="shared" si="79"/>
        <v>46217</v>
      </c>
      <c r="Q183" s="12">
        <f t="shared" si="67"/>
        <v>46227</v>
      </c>
      <c r="R183" s="24">
        <f t="shared" si="81"/>
        <v>-3</v>
      </c>
      <c r="S183" s="25">
        <f t="shared" si="80"/>
        <v>-8</v>
      </c>
      <c r="T183" s="23" t="str">
        <f t="shared" si="75"/>
        <v>No</v>
      </c>
      <c r="U183" s="23"/>
      <c r="V183" s="1" t="s">
        <v>387</v>
      </c>
    </row>
    <row r="184" spans="1:22" x14ac:dyDescent="0.3">
      <c r="A184" s="6">
        <v>183</v>
      </c>
      <c r="B184" s="1" t="s">
        <v>21</v>
      </c>
      <c r="C184" s="1" t="s">
        <v>385</v>
      </c>
      <c r="D184" s="1" t="s">
        <v>391</v>
      </c>
      <c r="E184" s="1">
        <v>9700018301</v>
      </c>
      <c r="F184" s="8" t="s">
        <v>9</v>
      </c>
      <c r="G184" s="1" t="s">
        <v>361</v>
      </c>
      <c r="H184" s="1" t="s">
        <v>25</v>
      </c>
      <c r="I184" s="11">
        <v>46208</v>
      </c>
      <c r="J184" s="11">
        <v>46214</v>
      </c>
      <c r="K184" s="11">
        <v>46216</v>
      </c>
      <c r="L184" s="11">
        <v>46217</v>
      </c>
      <c r="M184" s="1" t="s">
        <v>26</v>
      </c>
      <c r="N184" s="6">
        <v>10</v>
      </c>
      <c r="O184" s="6">
        <v>14</v>
      </c>
      <c r="P184" s="12">
        <f t="shared" si="79"/>
        <v>46217</v>
      </c>
      <c r="Q184" s="12">
        <f t="shared" si="67"/>
        <v>46227</v>
      </c>
      <c r="R184" s="24">
        <f t="shared" si="81"/>
        <v>-3</v>
      </c>
      <c r="S184" s="25">
        <f t="shared" si="80"/>
        <v>-10</v>
      </c>
      <c r="T184" s="23" t="str">
        <f t="shared" si="75"/>
        <v>No</v>
      </c>
      <c r="U184" s="23"/>
      <c r="V184" s="1" t="s">
        <v>387</v>
      </c>
    </row>
    <row r="185" spans="1:22" x14ac:dyDescent="0.3">
      <c r="A185" s="6">
        <v>184</v>
      </c>
      <c r="B185" s="1" t="s">
        <v>21</v>
      </c>
      <c r="C185" s="1" t="s">
        <v>385</v>
      </c>
      <c r="D185" s="1" t="s">
        <v>392</v>
      </c>
      <c r="E185" s="1">
        <v>9700018301</v>
      </c>
      <c r="F185" s="8" t="s">
        <v>9</v>
      </c>
      <c r="G185" s="1" t="s">
        <v>393</v>
      </c>
      <c r="H185" s="1" t="s">
        <v>25</v>
      </c>
      <c r="I185" s="11">
        <v>46208</v>
      </c>
      <c r="J185" s="11">
        <v>46213</v>
      </c>
      <c r="K185" s="11">
        <v>46215</v>
      </c>
      <c r="L185" s="11">
        <v>46217</v>
      </c>
      <c r="M185" s="1" t="s">
        <v>26</v>
      </c>
      <c r="N185" s="6">
        <v>10</v>
      </c>
      <c r="O185" s="6">
        <v>14</v>
      </c>
      <c r="P185" s="12">
        <f t="shared" si="79"/>
        <v>46217</v>
      </c>
      <c r="Q185" s="12">
        <f t="shared" si="67"/>
        <v>46226</v>
      </c>
      <c r="R185" s="24">
        <f t="shared" si="81"/>
        <v>-4</v>
      </c>
      <c r="S185" s="25">
        <f t="shared" si="80"/>
        <v>-9</v>
      </c>
      <c r="T185" s="23" t="str">
        <f t="shared" si="75"/>
        <v>No</v>
      </c>
      <c r="U185" s="23"/>
      <c r="V185" s="1" t="s">
        <v>387</v>
      </c>
    </row>
    <row r="186" spans="1:22" x14ac:dyDescent="0.3">
      <c r="A186" s="6">
        <v>185</v>
      </c>
      <c r="B186" s="1" t="s">
        <v>21</v>
      </c>
      <c r="C186" s="1" t="s">
        <v>385</v>
      </c>
      <c r="D186" s="1" t="s">
        <v>394</v>
      </c>
      <c r="E186" s="1">
        <v>9700018301</v>
      </c>
      <c r="F186" s="8" t="s">
        <v>9</v>
      </c>
      <c r="G186" s="1" t="s">
        <v>393</v>
      </c>
      <c r="H186" s="1" t="s">
        <v>25</v>
      </c>
      <c r="I186" s="11">
        <v>46208</v>
      </c>
      <c r="J186" s="11">
        <v>46214</v>
      </c>
      <c r="K186" s="11">
        <v>46219</v>
      </c>
      <c r="L186" s="11">
        <v>46219</v>
      </c>
      <c r="M186" s="1" t="s">
        <v>26</v>
      </c>
      <c r="N186" s="6">
        <v>10</v>
      </c>
      <c r="O186" s="6">
        <v>14</v>
      </c>
      <c r="P186" s="12">
        <f t="shared" si="79"/>
        <v>46217</v>
      </c>
      <c r="Q186" s="12">
        <f t="shared" si="67"/>
        <v>46227</v>
      </c>
      <c r="R186" s="24">
        <f t="shared" si="81"/>
        <v>-3</v>
      </c>
      <c r="S186" s="25">
        <f t="shared" si="80"/>
        <v>-8</v>
      </c>
      <c r="T186" s="23" t="str">
        <f t="shared" si="75"/>
        <v>No</v>
      </c>
      <c r="U186" s="23"/>
      <c r="V186" s="1" t="s">
        <v>387</v>
      </c>
    </row>
    <row r="187" spans="1:22" x14ac:dyDescent="0.3">
      <c r="A187" s="6">
        <v>186</v>
      </c>
      <c r="B187" s="1" t="s">
        <v>21</v>
      </c>
      <c r="C187" s="1" t="s">
        <v>385</v>
      </c>
      <c r="D187" s="1" t="s">
        <v>395</v>
      </c>
      <c r="E187" s="1">
        <v>9700018301</v>
      </c>
      <c r="F187" s="8" t="s">
        <v>9</v>
      </c>
      <c r="G187" s="1" t="s">
        <v>393</v>
      </c>
      <c r="H187" s="1" t="s">
        <v>25</v>
      </c>
      <c r="I187" s="11">
        <v>46208</v>
      </c>
      <c r="J187" s="11">
        <v>46214</v>
      </c>
      <c r="K187" s="11">
        <v>46215</v>
      </c>
      <c r="L187" s="11">
        <v>46216</v>
      </c>
      <c r="M187" s="1" t="s">
        <v>26</v>
      </c>
      <c r="N187" s="6">
        <v>10</v>
      </c>
      <c r="O187" s="6">
        <v>14</v>
      </c>
      <c r="P187" s="12">
        <f t="shared" si="79"/>
        <v>46217</v>
      </c>
      <c r="Q187" s="12">
        <f t="shared" si="67"/>
        <v>46227</v>
      </c>
      <c r="R187" s="24">
        <f t="shared" si="81"/>
        <v>-3</v>
      </c>
      <c r="S187" s="25">
        <f t="shared" si="80"/>
        <v>-11</v>
      </c>
      <c r="T187" s="23" t="str">
        <f t="shared" si="75"/>
        <v>No</v>
      </c>
      <c r="U187" s="23"/>
      <c r="V187" s="1" t="s">
        <v>387</v>
      </c>
    </row>
    <row r="188" spans="1:22" x14ac:dyDescent="0.3">
      <c r="A188" s="6">
        <v>187</v>
      </c>
      <c r="B188" s="1" t="s">
        <v>21</v>
      </c>
      <c r="C188" s="1" t="s">
        <v>385</v>
      </c>
      <c r="D188" s="1" t="s">
        <v>396</v>
      </c>
      <c r="E188" s="1">
        <v>9700018301</v>
      </c>
      <c r="F188" s="8" t="s">
        <v>9</v>
      </c>
      <c r="G188" s="1" t="s">
        <v>397</v>
      </c>
      <c r="H188" s="1" t="s">
        <v>25</v>
      </c>
      <c r="I188" s="11">
        <v>46208</v>
      </c>
      <c r="J188" s="11">
        <v>46213</v>
      </c>
      <c r="K188" s="11">
        <v>46215</v>
      </c>
      <c r="L188" s="11">
        <v>46216</v>
      </c>
      <c r="M188" s="1" t="s">
        <v>26</v>
      </c>
      <c r="N188" s="6">
        <v>10</v>
      </c>
      <c r="O188" s="6">
        <v>14</v>
      </c>
      <c r="P188" s="12">
        <f t="shared" si="79"/>
        <v>46217</v>
      </c>
      <c r="Q188" s="12">
        <f t="shared" si="67"/>
        <v>46226</v>
      </c>
      <c r="R188" s="24">
        <f t="shared" si="81"/>
        <v>-4</v>
      </c>
      <c r="S188" s="25">
        <f t="shared" si="80"/>
        <v>-10</v>
      </c>
      <c r="T188" s="23" t="str">
        <f t="shared" si="75"/>
        <v>No</v>
      </c>
      <c r="U188" s="23"/>
      <c r="V188" s="1" t="s">
        <v>387</v>
      </c>
    </row>
    <row r="189" spans="1:22" x14ac:dyDescent="0.3">
      <c r="A189" s="6">
        <v>188</v>
      </c>
      <c r="B189" s="1" t="s">
        <v>21</v>
      </c>
      <c r="C189" s="1" t="s">
        <v>398</v>
      </c>
      <c r="D189" s="1" t="s">
        <v>399</v>
      </c>
      <c r="E189" s="1">
        <v>9700018302</v>
      </c>
      <c r="F189" s="8" t="s">
        <v>9</v>
      </c>
      <c r="G189" s="1" t="s">
        <v>400</v>
      </c>
      <c r="H189" s="1" t="s">
        <v>25</v>
      </c>
      <c r="I189" s="11">
        <v>46208</v>
      </c>
      <c r="J189" s="11">
        <v>46214</v>
      </c>
      <c r="K189" s="11">
        <v>46216</v>
      </c>
      <c r="L189" s="11">
        <v>46216</v>
      </c>
      <c r="M189" s="1" t="s">
        <v>26</v>
      </c>
      <c r="N189" s="6">
        <v>10</v>
      </c>
      <c r="O189" s="6">
        <v>14</v>
      </c>
      <c r="P189" s="12">
        <f t="shared" si="79"/>
        <v>46217</v>
      </c>
      <c r="Q189" s="12">
        <f t="shared" si="67"/>
        <v>46227</v>
      </c>
      <c r="R189" s="24">
        <f t="shared" si="81"/>
        <v>-3</v>
      </c>
      <c r="S189" s="25">
        <f t="shared" si="80"/>
        <v>-11</v>
      </c>
      <c r="T189" s="23" t="str">
        <f t="shared" si="75"/>
        <v>No</v>
      </c>
      <c r="U189" s="23"/>
      <c r="V189" s="1" t="s">
        <v>387</v>
      </c>
    </row>
    <row r="190" spans="1:22" x14ac:dyDescent="0.3">
      <c r="A190" s="6">
        <v>189</v>
      </c>
      <c r="B190" s="1" t="s">
        <v>21</v>
      </c>
      <c r="C190" s="1" t="s">
        <v>398</v>
      </c>
      <c r="D190" s="1" t="s">
        <v>401</v>
      </c>
      <c r="E190" s="1">
        <v>9700018302</v>
      </c>
      <c r="F190" s="8" t="s">
        <v>9</v>
      </c>
      <c r="G190" s="1" t="s">
        <v>400</v>
      </c>
      <c r="H190" s="1" t="s">
        <v>25</v>
      </c>
      <c r="I190" s="11">
        <v>46208</v>
      </c>
      <c r="J190" s="11">
        <v>46216</v>
      </c>
      <c r="K190" s="11">
        <v>46217</v>
      </c>
      <c r="L190" s="11">
        <v>46217</v>
      </c>
      <c r="M190" s="1" t="s">
        <v>26</v>
      </c>
      <c r="N190" s="6">
        <v>10</v>
      </c>
      <c r="O190" s="6">
        <v>14</v>
      </c>
      <c r="P190" s="12">
        <f>I190+N190-1</f>
        <v>46217</v>
      </c>
      <c r="Q190" s="12">
        <f t="shared" si="67"/>
        <v>46229</v>
      </c>
      <c r="R190" s="24">
        <f t="shared" si="81"/>
        <v>-1</v>
      </c>
      <c r="S190" s="25">
        <f t="shared" si="80"/>
        <v>-12</v>
      </c>
      <c r="T190" s="23" t="str">
        <f t="shared" si="75"/>
        <v>No</v>
      </c>
      <c r="U190" s="23"/>
      <c r="V190" s="1" t="s">
        <v>387</v>
      </c>
    </row>
    <row r="191" spans="1:22" x14ac:dyDescent="0.3">
      <c r="A191" s="6">
        <v>190</v>
      </c>
      <c r="B191" s="1" t="s">
        <v>21</v>
      </c>
      <c r="C191" s="1" t="s">
        <v>398</v>
      </c>
      <c r="D191" s="1" t="s">
        <v>402</v>
      </c>
      <c r="E191" s="1">
        <v>9700018302</v>
      </c>
      <c r="F191" s="8" t="s">
        <v>9</v>
      </c>
      <c r="G191" s="1" t="s">
        <v>400</v>
      </c>
      <c r="H191" s="1" t="s">
        <v>25</v>
      </c>
      <c r="I191" s="11">
        <v>46208</v>
      </c>
      <c r="J191" s="11">
        <v>46216</v>
      </c>
      <c r="K191" s="11">
        <v>46219</v>
      </c>
      <c r="L191" s="11">
        <v>46219</v>
      </c>
      <c r="M191" s="1" t="s">
        <v>26</v>
      </c>
      <c r="N191" s="6">
        <v>10</v>
      </c>
      <c r="O191" s="6">
        <v>14</v>
      </c>
      <c r="P191" s="12">
        <f t="shared" si="79"/>
        <v>46217</v>
      </c>
      <c r="Q191" s="12">
        <f t="shared" si="67"/>
        <v>46229</v>
      </c>
      <c r="R191" s="24">
        <f t="shared" si="81"/>
        <v>-1</v>
      </c>
      <c r="S191" s="25">
        <f t="shared" si="80"/>
        <v>-10</v>
      </c>
      <c r="T191" s="23" t="str">
        <f t="shared" si="75"/>
        <v>No</v>
      </c>
      <c r="U191" s="23"/>
      <c r="V191" s="1" t="s">
        <v>387</v>
      </c>
    </row>
    <row r="192" spans="1:22" x14ac:dyDescent="0.3">
      <c r="A192" s="6">
        <v>191</v>
      </c>
      <c r="B192" s="1" t="s">
        <v>21</v>
      </c>
      <c r="C192" s="1" t="s">
        <v>398</v>
      </c>
      <c r="D192" s="1" t="s">
        <v>403</v>
      </c>
      <c r="E192" s="1">
        <v>9700018302</v>
      </c>
      <c r="F192" s="8" t="s">
        <v>9</v>
      </c>
      <c r="G192" s="1" t="s">
        <v>393</v>
      </c>
      <c r="H192" s="1" t="s">
        <v>25</v>
      </c>
      <c r="I192" s="11">
        <v>46208</v>
      </c>
      <c r="J192" s="11">
        <v>46216</v>
      </c>
      <c r="K192" s="11">
        <v>46217</v>
      </c>
      <c r="L192" s="11">
        <v>46217</v>
      </c>
      <c r="M192" s="1" t="s">
        <v>26</v>
      </c>
      <c r="N192" s="6">
        <v>10</v>
      </c>
      <c r="O192" s="6">
        <v>14</v>
      </c>
      <c r="P192" s="12">
        <f t="shared" si="79"/>
        <v>46217</v>
      </c>
      <c r="Q192" s="12">
        <f t="shared" si="67"/>
        <v>46229</v>
      </c>
      <c r="R192" s="24">
        <f t="shared" si="81"/>
        <v>-1</v>
      </c>
      <c r="S192" s="25">
        <f t="shared" si="80"/>
        <v>-12</v>
      </c>
      <c r="T192" s="23" t="str">
        <f t="shared" si="75"/>
        <v>No</v>
      </c>
      <c r="U192" s="23"/>
      <c r="V192" s="1" t="s">
        <v>387</v>
      </c>
    </row>
    <row r="193" spans="1:22" x14ac:dyDescent="0.3">
      <c r="A193" s="6">
        <v>192</v>
      </c>
      <c r="B193" s="1" t="s">
        <v>21</v>
      </c>
      <c r="C193" s="1" t="s">
        <v>398</v>
      </c>
      <c r="D193" s="1" t="s">
        <v>404</v>
      </c>
      <c r="E193" s="1">
        <v>9700018302</v>
      </c>
      <c r="F193" s="8" t="s">
        <v>9</v>
      </c>
      <c r="G193" s="1" t="s">
        <v>393</v>
      </c>
      <c r="H193" s="1" t="s">
        <v>25</v>
      </c>
      <c r="I193" s="11">
        <v>46208</v>
      </c>
      <c r="J193" s="11">
        <v>46216</v>
      </c>
      <c r="K193" s="11">
        <v>46224</v>
      </c>
      <c r="L193" s="11">
        <v>46225</v>
      </c>
      <c r="M193" s="1" t="s">
        <v>26</v>
      </c>
      <c r="N193" s="6">
        <v>10</v>
      </c>
      <c r="O193" s="6">
        <v>14</v>
      </c>
      <c r="P193" s="12">
        <f t="shared" si="79"/>
        <v>46217</v>
      </c>
      <c r="Q193" s="12">
        <f t="shared" si="67"/>
        <v>46229</v>
      </c>
      <c r="R193" s="24">
        <f t="shared" si="81"/>
        <v>-1</v>
      </c>
      <c r="S193" s="25">
        <f t="shared" si="80"/>
        <v>-4</v>
      </c>
      <c r="T193" s="23" t="str">
        <f t="shared" si="75"/>
        <v>No</v>
      </c>
      <c r="U193" s="23"/>
      <c r="V193" s="1" t="s">
        <v>387</v>
      </c>
    </row>
    <row r="194" spans="1:22" ht="43.2" x14ac:dyDescent="0.3">
      <c r="A194" s="6">
        <v>193</v>
      </c>
      <c r="B194" s="1" t="s">
        <v>152</v>
      </c>
      <c r="C194" s="1" t="s">
        <v>405</v>
      </c>
      <c r="D194" s="1" t="s">
        <v>406</v>
      </c>
      <c r="E194" s="30" t="s">
        <v>407</v>
      </c>
      <c r="F194" s="8" t="s">
        <v>9</v>
      </c>
      <c r="G194" s="1" t="s">
        <v>155</v>
      </c>
      <c r="H194" s="1" t="s">
        <v>25</v>
      </c>
      <c r="I194" s="11">
        <v>46231</v>
      </c>
      <c r="J194" s="11">
        <v>46237</v>
      </c>
      <c r="K194" s="11">
        <v>46238</v>
      </c>
      <c r="L194" s="11">
        <v>46239</v>
      </c>
      <c r="M194" s="1" t="s">
        <v>26</v>
      </c>
      <c r="N194" s="6">
        <v>7</v>
      </c>
      <c r="O194" s="6">
        <v>7</v>
      </c>
      <c r="P194" s="12">
        <f t="shared" si="79"/>
        <v>46237</v>
      </c>
      <c r="Q194" s="12">
        <f t="shared" si="67"/>
        <v>46243</v>
      </c>
      <c r="R194" s="15">
        <f>J194-P194</f>
        <v>0</v>
      </c>
      <c r="S194" s="21">
        <f>L194-Q194</f>
        <v>-4</v>
      </c>
      <c r="T194" s="23" t="str">
        <f t="shared" si="75"/>
        <v>No</v>
      </c>
      <c r="U194" s="23"/>
      <c r="V194" s="1" t="s">
        <v>408</v>
      </c>
    </row>
    <row r="195" spans="1:22" x14ac:dyDescent="0.3">
      <c r="A195" s="6">
        <v>194</v>
      </c>
      <c r="B195" s="1" t="s">
        <v>28</v>
      </c>
      <c r="C195" s="1" t="s">
        <v>409</v>
      </c>
      <c r="D195" s="1" t="s">
        <v>410</v>
      </c>
      <c r="E195" s="1">
        <v>1510003100</v>
      </c>
      <c r="F195" s="8" t="s">
        <v>9</v>
      </c>
      <c r="G195" s="28" t="s">
        <v>411</v>
      </c>
      <c r="H195" s="1" t="s">
        <v>25</v>
      </c>
      <c r="I195" s="11">
        <v>46228</v>
      </c>
      <c r="J195" s="11">
        <v>46241</v>
      </c>
      <c r="K195" s="11">
        <v>46244</v>
      </c>
      <c r="L195" s="11">
        <v>46248</v>
      </c>
      <c r="M195" s="1" t="s">
        <v>32</v>
      </c>
      <c r="N195" s="6">
        <v>14</v>
      </c>
      <c r="O195" s="6">
        <v>1</v>
      </c>
      <c r="P195" s="12">
        <f t="shared" si="79"/>
        <v>46241</v>
      </c>
      <c r="Q195" s="12">
        <f t="shared" si="67"/>
        <v>46241</v>
      </c>
      <c r="R195" s="24">
        <f t="shared" si="81"/>
        <v>0</v>
      </c>
      <c r="S195" s="25">
        <f t="shared" si="80"/>
        <v>7</v>
      </c>
      <c r="T195" s="23" t="str">
        <f t="shared" si="75"/>
        <v>No</v>
      </c>
      <c r="U195" s="23"/>
      <c r="V195" s="1" t="s">
        <v>412</v>
      </c>
    </row>
    <row r="196" spans="1:22" x14ac:dyDescent="0.3">
      <c r="A196" s="6">
        <v>195</v>
      </c>
      <c r="B196" s="1" t="s">
        <v>28</v>
      </c>
      <c r="C196" s="1" t="s">
        <v>413</v>
      </c>
      <c r="D196" s="1" t="s">
        <v>414</v>
      </c>
      <c r="E196" s="1">
        <v>1510002984</v>
      </c>
      <c r="F196" s="8" t="s">
        <v>9</v>
      </c>
      <c r="G196" s="28" t="s">
        <v>411</v>
      </c>
      <c r="H196" s="1" t="s">
        <v>25</v>
      </c>
      <c r="I196" s="11">
        <v>46243</v>
      </c>
      <c r="J196" s="11">
        <v>46256</v>
      </c>
      <c r="K196" s="11">
        <v>46258</v>
      </c>
      <c r="L196" s="11">
        <v>46260</v>
      </c>
      <c r="M196" s="1" t="s">
        <v>32</v>
      </c>
      <c r="N196" s="6">
        <v>5</v>
      </c>
      <c r="O196" s="6"/>
      <c r="P196" s="12">
        <f t="shared" si="79"/>
        <v>46247</v>
      </c>
      <c r="Q196" s="12">
        <f t="shared" si="79"/>
        <v>46255</v>
      </c>
      <c r="R196" s="24">
        <f t="shared" si="81"/>
        <v>9</v>
      </c>
      <c r="S196" s="25">
        <f t="shared" si="80"/>
        <v>5</v>
      </c>
      <c r="T196" s="23" t="str">
        <f t="shared" si="75"/>
        <v>To Paid</v>
      </c>
      <c r="U196" s="23"/>
      <c r="V196" s="1" t="s">
        <v>415</v>
      </c>
    </row>
    <row r="197" spans="1:22" x14ac:dyDescent="0.3">
      <c r="A197" s="6">
        <v>196</v>
      </c>
      <c r="B197" s="1" t="s">
        <v>143</v>
      </c>
      <c r="C197" s="1" t="s">
        <v>416</v>
      </c>
      <c r="D197" s="1" t="s">
        <v>417</v>
      </c>
      <c r="E197" s="1">
        <v>1510003131</v>
      </c>
      <c r="F197" s="8" t="s">
        <v>9</v>
      </c>
      <c r="G197" s="26" t="s">
        <v>418</v>
      </c>
      <c r="H197" s="1" t="s">
        <v>49</v>
      </c>
      <c r="I197" s="11">
        <v>46215</v>
      </c>
      <c r="J197" s="11">
        <v>46218</v>
      </c>
      <c r="K197" s="11">
        <v>46219</v>
      </c>
      <c r="L197" s="11">
        <v>46220</v>
      </c>
      <c r="M197" s="1" t="s">
        <v>32</v>
      </c>
      <c r="N197" s="6">
        <v>20</v>
      </c>
      <c r="O197" s="6">
        <v>15</v>
      </c>
      <c r="P197" s="12">
        <f t="shared" si="79"/>
        <v>46234</v>
      </c>
      <c r="Q197" s="11">
        <f>J197+O197-1</f>
        <v>46232</v>
      </c>
      <c r="R197" s="24">
        <f>J197-P197</f>
        <v>-16</v>
      </c>
      <c r="S197" s="25">
        <f>L197-Q197</f>
        <v>-12</v>
      </c>
      <c r="T197" s="23" t="str">
        <f t="shared" si="75"/>
        <v>No</v>
      </c>
      <c r="U197" s="23"/>
      <c r="V197" s="1" t="s">
        <v>419</v>
      </c>
    </row>
    <row r="198" spans="1:22" x14ac:dyDescent="0.3">
      <c r="A198" s="6">
        <v>197</v>
      </c>
      <c r="B198" s="1" t="s">
        <v>117</v>
      </c>
      <c r="C198" s="1" t="s">
        <v>420</v>
      </c>
      <c r="D198" s="1" t="s">
        <v>421</v>
      </c>
      <c r="E198" s="1">
        <v>1510003265</v>
      </c>
      <c r="F198" s="8" t="s">
        <v>9</v>
      </c>
      <c r="G198" s="1" t="s">
        <v>422</v>
      </c>
      <c r="H198" s="1" t="s">
        <v>55</v>
      </c>
      <c r="I198" s="11">
        <v>46215</v>
      </c>
      <c r="J198" s="11">
        <v>46218</v>
      </c>
      <c r="K198" s="11">
        <v>46219</v>
      </c>
      <c r="L198" s="11">
        <v>46219</v>
      </c>
      <c r="M198" s="1" t="s">
        <v>32</v>
      </c>
      <c r="N198" s="6">
        <v>20</v>
      </c>
      <c r="O198" s="6">
        <v>15</v>
      </c>
      <c r="P198" s="12">
        <f t="shared" si="79"/>
        <v>46234</v>
      </c>
      <c r="Q198" s="11">
        <f>J198+O198-1</f>
        <v>46232</v>
      </c>
      <c r="R198" s="24">
        <f>J198-P198</f>
        <v>-16</v>
      </c>
      <c r="S198" s="25">
        <f>L198-Q198</f>
        <v>-13</v>
      </c>
      <c r="T198" s="23" t="str">
        <f t="shared" si="75"/>
        <v>No</v>
      </c>
      <c r="U198" s="23"/>
      <c r="V198" s="1" t="s">
        <v>423</v>
      </c>
    </row>
    <row r="199" spans="1:22" x14ac:dyDescent="0.3">
      <c r="A199" s="6">
        <v>198</v>
      </c>
      <c r="B199" s="1" t="s">
        <v>115</v>
      </c>
      <c r="C199" s="1" t="s">
        <v>424</v>
      </c>
      <c r="D199" s="1" t="s">
        <v>425</v>
      </c>
      <c r="E199" s="1">
        <v>1510003134</v>
      </c>
      <c r="F199" s="8" t="s">
        <v>9</v>
      </c>
      <c r="G199" s="1" t="s">
        <v>426</v>
      </c>
      <c r="H199" s="1" t="s">
        <v>55</v>
      </c>
      <c r="I199" s="11">
        <v>46216</v>
      </c>
      <c r="J199" s="11">
        <v>46221</v>
      </c>
      <c r="K199" s="11">
        <v>46222</v>
      </c>
      <c r="L199" s="11">
        <v>46223</v>
      </c>
      <c r="M199" s="1" t="s">
        <v>32</v>
      </c>
      <c r="N199" s="6">
        <v>20</v>
      </c>
      <c r="O199" s="6">
        <v>15</v>
      </c>
      <c r="P199" s="12">
        <f t="shared" si="79"/>
        <v>46235</v>
      </c>
      <c r="Q199" s="11">
        <f>J199+O199-1</f>
        <v>46235</v>
      </c>
      <c r="R199" s="24">
        <f>J199-P199</f>
        <v>-14</v>
      </c>
      <c r="S199" s="25">
        <f>L199-Q199</f>
        <v>-12</v>
      </c>
      <c r="T199" s="23" t="str">
        <f t="shared" si="75"/>
        <v>No</v>
      </c>
      <c r="U199" s="23"/>
      <c r="V199" s="1" t="s">
        <v>427</v>
      </c>
    </row>
    <row r="200" spans="1:22" x14ac:dyDescent="0.3">
      <c r="A200" s="6">
        <v>199</v>
      </c>
      <c r="B200" s="1" t="s">
        <v>115</v>
      </c>
      <c r="C200" s="1" t="s">
        <v>428</v>
      </c>
      <c r="D200" s="1" t="s">
        <v>429</v>
      </c>
      <c r="E200" s="1">
        <v>1510003266</v>
      </c>
      <c r="F200" s="8" t="s">
        <v>9</v>
      </c>
      <c r="G200" s="1" t="s">
        <v>426</v>
      </c>
      <c r="H200" s="1" t="s">
        <v>49</v>
      </c>
      <c r="I200" s="11">
        <v>46215</v>
      </c>
      <c r="J200" s="11">
        <v>46219</v>
      </c>
      <c r="K200" s="11">
        <v>46220</v>
      </c>
      <c r="L200" s="11">
        <v>46221</v>
      </c>
      <c r="M200" s="1" t="s">
        <v>32</v>
      </c>
      <c r="N200" s="6">
        <v>20</v>
      </c>
      <c r="O200" s="6">
        <v>15</v>
      </c>
      <c r="P200" s="12">
        <f t="shared" si="79"/>
        <v>46234</v>
      </c>
      <c r="Q200" s="11">
        <f>J200+O200-1</f>
        <v>46233</v>
      </c>
      <c r="R200" s="24">
        <f>J200-P200</f>
        <v>-15</v>
      </c>
      <c r="S200" s="25">
        <f>L200-Q200</f>
        <v>-12</v>
      </c>
      <c r="T200" s="23" t="str">
        <f t="shared" si="75"/>
        <v>No</v>
      </c>
      <c r="U200" s="23"/>
      <c r="V200" s="1" t="s">
        <v>427</v>
      </c>
    </row>
    <row r="201" spans="1:22" x14ac:dyDescent="0.3">
      <c r="A201" s="6">
        <v>200</v>
      </c>
      <c r="B201" s="1" t="s">
        <v>317</v>
      </c>
      <c r="C201" s="1" t="s">
        <v>430</v>
      </c>
      <c r="D201" s="35" t="s">
        <v>431</v>
      </c>
      <c r="E201" s="1">
        <v>1510003046</v>
      </c>
      <c r="F201" s="8" t="s">
        <v>9</v>
      </c>
      <c r="G201" s="1" t="s">
        <v>432</v>
      </c>
      <c r="H201" s="1" t="s">
        <v>25</v>
      </c>
      <c r="I201" s="11">
        <v>46214</v>
      </c>
      <c r="J201" s="11">
        <v>46231</v>
      </c>
      <c r="K201" s="11">
        <v>46234</v>
      </c>
      <c r="L201" s="11">
        <v>46237</v>
      </c>
      <c r="M201" s="1" t="s">
        <v>32</v>
      </c>
      <c r="N201" s="6">
        <v>18</v>
      </c>
      <c r="O201" s="6">
        <v>3</v>
      </c>
      <c r="P201" s="12">
        <f t="shared" si="79"/>
        <v>46231</v>
      </c>
      <c r="Q201" s="12">
        <f>J201+O201-1</f>
        <v>46233</v>
      </c>
      <c r="R201" s="24">
        <f t="shared" si="81"/>
        <v>0</v>
      </c>
      <c r="S201" s="25">
        <f>L201-Q201</f>
        <v>4</v>
      </c>
      <c r="T201" s="23" t="str">
        <f t="shared" si="75"/>
        <v>No</v>
      </c>
      <c r="U201" s="38" t="s">
        <v>321</v>
      </c>
      <c r="V201" s="1" t="s">
        <v>433</v>
      </c>
    </row>
    <row r="202" spans="1:22" ht="28.8" x14ac:dyDescent="0.3">
      <c r="A202" s="6">
        <v>201</v>
      </c>
      <c r="B202" s="1" t="s">
        <v>317</v>
      </c>
      <c r="C202" s="1" t="s">
        <v>430</v>
      </c>
      <c r="D202" s="35" t="s">
        <v>434</v>
      </c>
      <c r="E202" s="1">
        <v>1510003046</v>
      </c>
      <c r="F202" s="8" t="s">
        <v>9</v>
      </c>
      <c r="G202" s="9" t="s">
        <v>435</v>
      </c>
      <c r="H202" s="1" t="s">
        <v>25</v>
      </c>
      <c r="I202" s="11">
        <v>46214</v>
      </c>
      <c r="J202" s="11">
        <v>46232</v>
      </c>
      <c r="K202" s="11">
        <v>46232</v>
      </c>
      <c r="L202" s="11">
        <v>46233</v>
      </c>
      <c r="M202" s="1" t="s">
        <v>32</v>
      </c>
      <c r="N202" s="6">
        <v>19</v>
      </c>
      <c r="O202" s="6">
        <v>2</v>
      </c>
      <c r="P202" s="12">
        <f t="shared" si="79"/>
        <v>46232</v>
      </c>
      <c r="Q202" s="12">
        <f t="shared" si="79"/>
        <v>46233</v>
      </c>
      <c r="R202" s="24">
        <f t="shared" si="81"/>
        <v>0</v>
      </c>
      <c r="S202" s="25">
        <f t="shared" si="80"/>
        <v>0</v>
      </c>
      <c r="T202" s="23" t="str">
        <f t="shared" si="75"/>
        <v>No</v>
      </c>
      <c r="U202" s="38" t="s">
        <v>321</v>
      </c>
      <c r="V202" s="1" t="s">
        <v>433</v>
      </c>
    </row>
    <row r="203" spans="1:22" ht="28.8" x14ac:dyDescent="0.3">
      <c r="A203" s="6">
        <v>202</v>
      </c>
      <c r="B203" s="1" t="s">
        <v>317</v>
      </c>
      <c r="C203" s="1" t="s">
        <v>430</v>
      </c>
      <c r="D203" s="35" t="s">
        <v>436</v>
      </c>
      <c r="E203" s="1">
        <v>1510003046</v>
      </c>
      <c r="F203" s="8" t="s">
        <v>9</v>
      </c>
      <c r="G203" s="9" t="s">
        <v>437</v>
      </c>
      <c r="H203" s="1" t="s">
        <v>25</v>
      </c>
      <c r="I203" s="11">
        <v>46214</v>
      </c>
      <c r="J203" s="11">
        <v>46232</v>
      </c>
      <c r="K203" s="11">
        <v>46237</v>
      </c>
      <c r="L203" s="11">
        <v>46239</v>
      </c>
      <c r="M203" s="1" t="s">
        <v>32</v>
      </c>
      <c r="N203" s="6">
        <v>19</v>
      </c>
      <c r="O203" s="6">
        <v>2</v>
      </c>
      <c r="P203" s="12">
        <f t="shared" si="79"/>
        <v>46232</v>
      </c>
      <c r="Q203" s="12">
        <f t="shared" si="79"/>
        <v>46233</v>
      </c>
      <c r="R203" s="24">
        <f t="shared" si="81"/>
        <v>0</v>
      </c>
      <c r="S203" s="25">
        <f t="shared" si="80"/>
        <v>6</v>
      </c>
      <c r="T203" s="23" t="str">
        <f t="shared" si="75"/>
        <v>No</v>
      </c>
      <c r="U203" s="38" t="s">
        <v>321</v>
      </c>
      <c r="V203" s="1" t="s">
        <v>438</v>
      </c>
    </row>
    <row r="204" spans="1:22" x14ac:dyDescent="0.3">
      <c r="A204" s="6">
        <v>203</v>
      </c>
      <c r="B204" s="1" t="s">
        <v>317</v>
      </c>
      <c r="C204" s="1" t="s">
        <v>430</v>
      </c>
      <c r="D204" s="1" t="s">
        <v>439</v>
      </c>
      <c r="E204" s="1">
        <v>1510003046</v>
      </c>
      <c r="F204" s="8" t="s">
        <v>9</v>
      </c>
      <c r="G204" s="1" t="s">
        <v>440</v>
      </c>
      <c r="H204" s="1" t="s">
        <v>25</v>
      </c>
      <c r="I204" s="11">
        <v>46214</v>
      </c>
      <c r="J204" s="11">
        <v>46233</v>
      </c>
      <c r="K204" s="11">
        <v>46233</v>
      </c>
      <c r="L204" s="11">
        <v>46234</v>
      </c>
      <c r="M204" s="1" t="s">
        <v>32</v>
      </c>
      <c r="N204" s="6">
        <v>20</v>
      </c>
      <c r="O204" s="6">
        <v>1</v>
      </c>
      <c r="P204" s="12">
        <f t="shared" si="79"/>
        <v>46233</v>
      </c>
      <c r="Q204" s="12">
        <f t="shared" si="79"/>
        <v>46233</v>
      </c>
      <c r="R204" s="24">
        <f t="shared" si="81"/>
        <v>0</v>
      </c>
      <c r="S204" s="25">
        <f t="shared" si="80"/>
        <v>1</v>
      </c>
      <c r="T204" s="23" t="str">
        <f t="shared" si="75"/>
        <v>No</v>
      </c>
      <c r="U204" s="38" t="s">
        <v>321</v>
      </c>
      <c r="V204" s="1" t="s">
        <v>438</v>
      </c>
    </row>
    <row r="205" spans="1:22" x14ac:dyDescent="0.3">
      <c r="A205" s="6">
        <v>204</v>
      </c>
      <c r="B205" s="1" t="s">
        <v>317</v>
      </c>
      <c r="C205" s="1" t="s">
        <v>430</v>
      </c>
      <c r="D205" s="1" t="s">
        <v>441</v>
      </c>
      <c r="E205" s="1">
        <v>1510003046</v>
      </c>
      <c r="F205" s="8" t="s">
        <v>9</v>
      </c>
      <c r="G205" s="1" t="s">
        <v>442</v>
      </c>
      <c r="H205" s="1" t="s">
        <v>25</v>
      </c>
      <c r="I205" s="11">
        <v>46214</v>
      </c>
      <c r="J205" s="11">
        <v>46228</v>
      </c>
      <c r="K205" s="11">
        <v>46230</v>
      </c>
      <c r="L205" s="11">
        <v>46231</v>
      </c>
      <c r="M205" s="1" t="s">
        <v>32</v>
      </c>
      <c r="N205" s="6">
        <v>15</v>
      </c>
      <c r="O205" s="6">
        <v>6</v>
      </c>
      <c r="P205" s="12">
        <f t="shared" si="79"/>
        <v>46228</v>
      </c>
      <c r="Q205" s="12">
        <f t="shared" si="79"/>
        <v>46233</v>
      </c>
      <c r="R205" s="24">
        <f t="shared" si="81"/>
        <v>0</v>
      </c>
      <c r="S205" s="25">
        <f t="shared" si="80"/>
        <v>-2</v>
      </c>
      <c r="T205" s="23" t="str">
        <f t="shared" si="75"/>
        <v>No</v>
      </c>
      <c r="U205" s="38" t="s">
        <v>321</v>
      </c>
      <c r="V205" s="1" t="s">
        <v>443</v>
      </c>
    </row>
    <row r="206" spans="1:22" x14ac:dyDescent="0.3">
      <c r="A206" s="6">
        <v>205</v>
      </c>
      <c r="B206" s="1" t="s">
        <v>317</v>
      </c>
      <c r="C206" s="1" t="s">
        <v>430</v>
      </c>
      <c r="D206" s="1" t="s">
        <v>444</v>
      </c>
      <c r="E206" s="1">
        <v>1510003046</v>
      </c>
      <c r="F206" s="8" t="s">
        <v>9</v>
      </c>
      <c r="G206" s="1" t="s">
        <v>445</v>
      </c>
      <c r="H206" s="1" t="s">
        <v>25</v>
      </c>
      <c r="I206" s="11">
        <v>46214</v>
      </c>
      <c r="J206" s="11">
        <v>46232</v>
      </c>
      <c r="K206" s="11">
        <v>46233</v>
      </c>
      <c r="L206" s="11">
        <v>46234</v>
      </c>
      <c r="M206" s="1" t="s">
        <v>32</v>
      </c>
      <c r="N206" s="6">
        <v>19</v>
      </c>
      <c r="O206" s="6">
        <v>2</v>
      </c>
      <c r="P206" s="12">
        <f t="shared" si="79"/>
        <v>46232</v>
      </c>
      <c r="Q206" s="12">
        <f t="shared" si="79"/>
        <v>46233</v>
      </c>
      <c r="R206" s="24">
        <f t="shared" si="81"/>
        <v>0</v>
      </c>
      <c r="S206" s="25">
        <f t="shared" si="80"/>
        <v>1</v>
      </c>
      <c r="T206" s="23" t="str">
        <f t="shared" si="75"/>
        <v>No</v>
      </c>
      <c r="U206" s="38" t="s">
        <v>321</v>
      </c>
      <c r="V206" s="1" t="s">
        <v>438</v>
      </c>
    </row>
    <row r="207" spans="1:22" x14ac:dyDescent="0.3">
      <c r="A207" s="6">
        <v>206</v>
      </c>
      <c r="B207" s="1" t="s">
        <v>317</v>
      </c>
      <c r="C207" s="1" t="s">
        <v>446</v>
      </c>
      <c r="D207" s="1" t="s">
        <v>447</v>
      </c>
      <c r="E207" s="1">
        <v>1510003049</v>
      </c>
      <c r="F207" s="8" t="s">
        <v>9</v>
      </c>
      <c r="G207" s="1" t="s">
        <v>343</v>
      </c>
      <c r="H207" s="1" t="s">
        <v>66</v>
      </c>
      <c r="I207" s="11">
        <v>46219</v>
      </c>
      <c r="J207" s="11">
        <v>46234</v>
      </c>
      <c r="K207" s="11">
        <v>46237</v>
      </c>
      <c r="L207" s="11">
        <v>46242</v>
      </c>
      <c r="M207" s="1" t="s">
        <v>32</v>
      </c>
      <c r="N207" s="6">
        <v>21</v>
      </c>
      <c r="O207" s="6">
        <v>14</v>
      </c>
      <c r="P207" s="12">
        <f t="shared" si="79"/>
        <v>46239</v>
      </c>
      <c r="Q207" s="12">
        <f t="shared" si="79"/>
        <v>46247</v>
      </c>
      <c r="R207" s="24">
        <f t="shared" si="81"/>
        <v>-5</v>
      </c>
      <c r="S207" s="25">
        <f t="shared" si="80"/>
        <v>-5</v>
      </c>
      <c r="T207" s="23" t="str">
        <f t="shared" si="75"/>
        <v>No</v>
      </c>
      <c r="U207" s="38" t="s">
        <v>321</v>
      </c>
      <c r="V207" s="1" t="s">
        <v>448</v>
      </c>
    </row>
    <row r="208" spans="1:22" x14ac:dyDescent="0.3">
      <c r="A208" s="6">
        <v>207</v>
      </c>
      <c r="B208" s="1" t="s">
        <v>317</v>
      </c>
      <c r="C208" s="1" t="s">
        <v>446</v>
      </c>
      <c r="D208" s="1" t="s">
        <v>449</v>
      </c>
      <c r="E208" s="1">
        <v>1510003049</v>
      </c>
      <c r="F208" s="8" t="s">
        <v>9</v>
      </c>
      <c r="G208" s="1" t="s">
        <v>450</v>
      </c>
      <c r="H208" s="1" t="s">
        <v>25</v>
      </c>
      <c r="I208" s="11">
        <v>46219</v>
      </c>
      <c r="J208" s="11">
        <v>46234</v>
      </c>
      <c r="K208" s="11">
        <v>46240</v>
      </c>
      <c r="L208" s="11">
        <v>46241</v>
      </c>
      <c r="M208" s="1" t="s">
        <v>32</v>
      </c>
      <c r="N208" s="6">
        <v>21</v>
      </c>
      <c r="O208" s="6">
        <v>14</v>
      </c>
      <c r="P208" s="12">
        <f t="shared" si="79"/>
        <v>46239</v>
      </c>
      <c r="Q208" s="12">
        <f t="shared" si="79"/>
        <v>46247</v>
      </c>
      <c r="R208" s="24">
        <f t="shared" si="81"/>
        <v>-5</v>
      </c>
      <c r="S208" s="25">
        <f t="shared" si="80"/>
        <v>-6</v>
      </c>
      <c r="T208" s="23" t="str">
        <f t="shared" si="75"/>
        <v>No</v>
      </c>
      <c r="U208" s="38" t="s">
        <v>321</v>
      </c>
      <c r="V208" s="1" t="s">
        <v>448</v>
      </c>
    </row>
    <row r="209" spans="1:22" x14ac:dyDescent="0.3">
      <c r="A209" s="6">
        <v>208</v>
      </c>
      <c r="B209" s="1" t="s">
        <v>317</v>
      </c>
      <c r="C209" s="1" t="s">
        <v>446</v>
      </c>
      <c r="D209" s="1" t="s">
        <v>451</v>
      </c>
      <c r="E209" s="1">
        <v>1510003049</v>
      </c>
      <c r="F209" s="8" t="s">
        <v>9</v>
      </c>
      <c r="G209" s="1" t="s">
        <v>452</v>
      </c>
      <c r="H209" s="1" t="s">
        <v>25</v>
      </c>
      <c r="I209" s="11">
        <v>46219</v>
      </c>
      <c r="J209" s="11">
        <v>46237</v>
      </c>
      <c r="K209" s="11">
        <v>46239</v>
      </c>
      <c r="L209" s="11">
        <v>46240</v>
      </c>
      <c r="M209" s="1" t="s">
        <v>32</v>
      </c>
      <c r="N209" s="6">
        <v>21</v>
      </c>
      <c r="O209" s="6">
        <v>14</v>
      </c>
      <c r="P209" s="12">
        <f t="shared" si="79"/>
        <v>46239</v>
      </c>
      <c r="Q209" s="12">
        <f t="shared" si="79"/>
        <v>46250</v>
      </c>
      <c r="R209" s="24">
        <f t="shared" si="81"/>
        <v>-2</v>
      </c>
      <c r="S209" s="25">
        <f t="shared" si="80"/>
        <v>-10</v>
      </c>
      <c r="T209" s="23" t="str">
        <f t="shared" si="75"/>
        <v>No</v>
      </c>
      <c r="U209" s="38" t="s">
        <v>321</v>
      </c>
      <c r="V209" s="1" t="s">
        <v>448</v>
      </c>
    </row>
    <row r="210" spans="1:22" x14ac:dyDescent="0.3">
      <c r="A210" s="6">
        <v>209</v>
      </c>
      <c r="B210" s="1" t="s">
        <v>317</v>
      </c>
      <c r="C210" s="1" t="s">
        <v>453</v>
      </c>
      <c r="D210" s="36" t="s">
        <v>454</v>
      </c>
      <c r="E210" s="1">
        <v>1510003049</v>
      </c>
      <c r="F210" s="8" t="s">
        <v>9</v>
      </c>
      <c r="G210" s="1" t="s">
        <v>455</v>
      </c>
      <c r="H210" s="1" t="s">
        <v>66</v>
      </c>
      <c r="I210" s="11">
        <v>46219</v>
      </c>
      <c r="J210" s="11">
        <v>46229</v>
      </c>
      <c r="K210" s="11">
        <v>46237</v>
      </c>
      <c r="L210" s="11">
        <v>46242</v>
      </c>
      <c r="M210" s="1" t="s">
        <v>32</v>
      </c>
      <c r="N210" s="6">
        <v>21</v>
      </c>
      <c r="O210" s="6">
        <v>14</v>
      </c>
      <c r="P210" s="12">
        <f t="shared" si="79"/>
        <v>46239</v>
      </c>
      <c r="Q210" s="12">
        <f t="shared" si="79"/>
        <v>46242</v>
      </c>
      <c r="R210" s="24">
        <f t="shared" si="81"/>
        <v>-10</v>
      </c>
      <c r="S210" s="25">
        <f t="shared" si="80"/>
        <v>0</v>
      </c>
      <c r="T210" s="23" t="str">
        <f t="shared" si="75"/>
        <v>No</v>
      </c>
      <c r="U210" s="38" t="s">
        <v>321</v>
      </c>
      <c r="V210" s="1" t="s">
        <v>456</v>
      </c>
    </row>
    <row r="211" spans="1:22" ht="28.8" x14ac:dyDescent="0.3">
      <c r="A211" s="6">
        <v>210</v>
      </c>
      <c r="B211" s="1" t="s">
        <v>317</v>
      </c>
      <c r="C211" s="1" t="s">
        <v>453</v>
      </c>
      <c r="D211" s="1" t="s">
        <v>457</v>
      </c>
      <c r="E211" s="1">
        <v>1510003049</v>
      </c>
      <c r="F211" s="8" t="s">
        <v>9</v>
      </c>
      <c r="G211" s="9" t="s">
        <v>458</v>
      </c>
      <c r="H211" s="1" t="s">
        <v>66</v>
      </c>
      <c r="I211" s="11">
        <v>46219</v>
      </c>
      <c r="J211" s="11">
        <v>46235</v>
      </c>
      <c r="K211" s="11">
        <v>46245</v>
      </c>
      <c r="L211" s="11">
        <v>46249</v>
      </c>
      <c r="M211" s="1" t="s">
        <v>32</v>
      </c>
      <c r="N211" s="6">
        <v>21</v>
      </c>
      <c r="O211" s="6">
        <v>14</v>
      </c>
      <c r="P211" s="12">
        <f t="shared" si="79"/>
        <v>46239</v>
      </c>
      <c r="Q211" s="12">
        <f t="shared" si="79"/>
        <v>46248</v>
      </c>
      <c r="R211" s="24">
        <f t="shared" si="81"/>
        <v>-4</v>
      </c>
      <c r="S211" s="25">
        <f t="shared" si="80"/>
        <v>1</v>
      </c>
      <c r="T211" s="23" t="str">
        <f t="shared" si="75"/>
        <v>No</v>
      </c>
      <c r="U211" s="38" t="s">
        <v>321</v>
      </c>
      <c r="V211" s="1" t="s">
        <v>459</v>
      </c>
    </row>
    <row r="212" spans="1:22" x14ac:dyDescent="0.3">
      <c r="A212" s="6">
        <v>211</v>
      </c>
      <c r="B212" s="1" t="s">
        <v>317</v>
      </c>
      <c r="C212" s="1" t="s">
        <v>453</v>
      </c>
      <c r="D212" s="1" t="s">
        <v>460</v>
      </c>
      <c r="E212" s="1">
        <v>1510003049</v>
      </c>
      <c r="F212" s="8" t="s">
        <v>9</v>
      </c>
      <c r="G212" s="1" t="s">
        <v>455</v>
      </c>
      <c r="H212" s="1" t="s">
        <v>66</v>
      </c>
      <c r="I212" s="11">
        <v>46219</v>
      </c>
      <c r="J212" s="11">
        <v>46235</v>
      </c>
      <c r="K212" s="11">
        <v>46248</v>
      </c>
      <c r="L212" s="11">
        <v>46249</v>
      </c>
      <c r="M212" s="1" t="s">
        <v>32</v>
      </c>
      <c r="N212" s="6">
        <v>21</v>
      </c>
      <c r="O212" s="6">
        <v>14</v>
      </c>
      <c r="P212" s="12">
        <f t="shared" si="79"/>
        <v>46239</v>
      </c>
      <c r="Q212" s="12">
        <f t="shared" si="79"/>
        <v>46248</v>
      </c>
      <c r="R212" s="24">
        <f t="shared" si="81"/>
        <v>-4</v>
      </c>
      <c r="S212" s="25">
        <f t="shared" si="80"/>
        <v>1</v>
      </c>
      <c r="T212" s="23" t="str">
        <f t="shared" ref="T212:T276" si="82">IF(R212&gt;0,"To Paid","No")</f>
        <v>No</v>
      </c>
      <c r="U212" s="38" t="s">
        <v>321</v>
      </c>
      <c r="V212" s="1" t="s">
        <v>461</v>
      </c>
    </row>
    <row r="213" spans="1:22" ht="28.8" x14ac:dyDescent="0.3">
      <c r="A213" s="6">
        <v>212</v>
      </c>
      <c r="B213" s="1" t="s">
        <v>317</v>
      </c>
      <c r="C213" s="1" t="s">
        <v>453</v>
      </c>
      <c r="D213" s="1" t="s">
        <v>462</v>
      </c>
      <c r="E213" s="1">
        <v>1510003049</v>
      </c>
      <c r="F213" s="8" t="s">
        <v>9</v>
      </c>
      <c r="G213" s="9" t="s">
        <v>463</v>
      </c>
      <c r="H213" s="1" t="s">
        <v>66</v>
      </c>
      <c r="I213" s="11">
        <v>46219</v>
      </c>
      <c r="J213" s="11">
        <v>46235</v>
      </c>
      <c r="K213" s="11">
        <v>46248</v>
      </c>
      <c r="L213" s="11">
        <v>46249</v>
      </c>
      <c r="M213" s="1" t="s">
        <v>32</v>
      </c>
      <c r="N213" s="6">
        <v>21</v>
      </c>
      <c r="O213" s="6">
        <v>14</v>
      </c>
      <c r="P213" s="12">
        <f t="shared" si="79"/>
        <v>46239</v>
      </c>
      <c r="Q213" s="12">
        <f t="shared" si="79"/>
        <v>46248</v>
      </c>
      <c r="R213" s="24">
        <f t="shared" si="81"/>
        <v>-4</v>
      </c>
      <c r="S213" s="25">
        <f t="shared" si="80"/>
        <v>1</v>
      </c>
      <c r="T213" s="23" t="str">
        <f t="shared" si="82"/>
        <v>No</v>
      </c>
      <c r="U213" s="38" t="s">
        <v>321</v>
      </c>
      <c r="V213" s="1" t="s">
        <v>461</v>
      </c>
    </row>
    <row r="214" spans="1:22" x14ac:dyDescent="0.3">
      <c r="A214" s="6">
        <v>213</v>
      </c>
      <c r="B214" s="1" t="s">
        <v>317</v>
      </c>
      <c r="C214" s="1" t="s">
        <v>464</v>
      </c>
      <c r="D214" s="1" t="s">
        <v>465</v>
      </c>
      <c r="E214" s="1">
        <v>1510003049</v>
      </c>
      <c r="F214" s="8" t="s">
        <v>9</v>
      </c>
      <c r="G214" s="1" t="s">
        <v>466</v>
      </c>
      <c r="H214" s="1" t="s">
        <v>25</v>
      </c>
      <c r="I214" s="11">
        <v>46219</v>
      </c>
      <c r="J214" s="11">
        <v>46232</v>
      </c>
      <c r="K214" s="11">
        <v>46240</v>
      </c>
      <c r="L214" s="11">
        <v>46242</v>
      </c>
      <c r="M214" s="1" t="s">
        <v>32</v>
      </c>
      <c r="N214" s="6">
        <v>21</v>
      </c>
      <c r="O214" s="6">
        <v>14</v>
      </c>
      <c r="P214" s="12">
        <f t="shared" si="79"/>
        <v>46239</v>
      </c>
      <c r="Q214" s="12">
        <f t="shared" si="79"/>
        <v>46245</v>
      </c>
      <c r="R214" s="24">
        <f t="shared" si="81"/>
        <v>-7</v>
      </c>
      <c r="S214" s="25">
        <f t="shared" si="80"/>
        <v>-3</v>
      </c>
      <c r="T214" s="23" t="str">
        <f t="shared" si="82"/>
        <v>No</v>
      </c>
      <c r="U214" s="38" t="s">
        <v>321</v>
      </c>
      <c r="V214" s="1" t="s">
        <v>467</v>
      </c>
    </row>
    <row r="215" spans="1:22" x14ac:dyDescent="0.3">
      <c r="A215" s="6">
        <v>214</v>
      </c>
      <c r="B215" s="1" t="s">
        <v>317</v>
      </c>
      <c r="C215" s="1" t="s">
        <v>464</v>
      </c>
      <c r="D215" s="1" t="s">
        <v>468</v>
      </c>
      <c r="E215" s="1">
        <v>1510003049</v>
      </c>
      <c r="F215" s="8" t="s">
        <v>9</v>
      </c>
      <c r="G215" s="1" t="s">
        <v>469</v>
      </c>
      <c r="H215" s="1" t="s">
        <v>25</v>
      </c>
      <c r="I215" s="11">
        <v>46219</v>
      </c>
      <c r="J215" s="11">
        <v>46234</v>
      </c>
      <c r="K215" s="11">
        <v>46240</v>
      </c>
      <c r="L215" s="11">
        <v>46243</v>
      </c>
      <c r="M215" s="1" t="s">
        <v>32</v>
      </c>
      <c r="N215" s="6">
        <v>21</v>
      </c>
      <c r="O215" s="6">
        <v>14</v>
      </c>
      <c r="P215" s="12">
        <f t="shared" si="79"/>
        <v>46239</v>
      </c>
      <c r="Q215" s="12">
        <f t="shared" si="79"/>
        <v>46247</v>
      </c>
      <c r="R215" s="24">
        <f t="shared" si="81"/>
        <v>-5</v>
      </c>
      <c r="S215" s="25">
        <f t="shared" si="80"/>
        <v>-4</v>
      </c>
      <c r="T215" s="23" t="str">
        <f t="shared" si="82"/>
        <v>No</v>
      </c>
      <c r="U215" s="38" t="s">
        <v>321</v>
      </c>
      <c r="V215" s="1" t="s">
        <v>467</v>
      </c>
    </row>
    <row r="216" spans="1:22" x14ac:dyDescent="0.3">
      <c r="A216" s="6">
        <v>215</v>
      </c>
      <c r="B216" s="1" t="s">
        <v>317</v>
      </c>
      <c r="C216" s="1" t="s">
        <v>464</v>
      </c>
      <c r="D216" s="1" t="s">
        <v>470</v>
      </c>
      <c r="E216" s="1">
        <v>1510003049</v>
      </c>
      <c r="F216" s="8" t="s">
        <v>9</v>
      </c>
      <c r="G216" s="1" t="s">
        <v>469</v>
      </c>
      <c r="H216" s="1" t="s">
        <v>25</v>
      </c>
      <c r="I216" s="11">
        <v>46219</v>
      </c>
      <c r="J216" s="11">
        <v>46237</v>
      </c>
      <c r="K216" s="11">
        <v>46244</v>
      </c>
      <c r="L216" s="11">
        <v>46246</v>
      </c>
      <c r="M216" s="1" t="s">
        <v>32</v>
      </c>
      <c r="N216" s="6">
        <v>21</v>
      </c>
      <c r="O216" s="6">
        <v>14</v>
      </c>
      <c r="P216" s="12">
        <f t="shared" si="79"/>
        <v>46239</v>
      </c>
      <c r="Q216" s="12">
        <f t="shared" si="79"/>
        <v>46250</v>
      </c>
      <c r="R216" s="24">
        <f t="shared" si="81"/>
        <v>-2</v>
      </c>
      <c r="S216" s="25">
        <f t="shared" si="80"/>
        <v>-4</v>
      </c>
      <c r="T216" s="23" t="str">
        <f t="shared" si="82"/>
        <v>No</v>
      </c>
      <c r="U216" s="38" t="s">
        <v>321</v>
      </c>
      <c r="V216" s="1" t="s">
        <v>467</v>
      </c>
    </row>
    <row r="217" spans="1:22" x14ac:dyDescent="0.3">
      <c r="A217" s="6">
        <v>216</v>
      </c>
      <c r="B217" s="1" t="s">
        <v>115</v>
      </c>
      <c r="C217" s="1" t="s">
        <v>471</v>
      </c>
      <c r="D217" s="1" t="s">
        <v>472</v>
      </c>
      <c r="E217" s="1">
        <v>1510003267</v>
      </c>
      <c r="F217" s="8" t="s">
        <v>9</v>
      </c>
      <c r="G217" s="1" t="s">
        <v>426</v>
      </c>
      <c r="H217" s="1" t="s">
        <v>25</v>
      </c>
      <c r="I217" s="11">
        <v>46223</v>
      </c>
      <c r="J217" s="11">
        <v>46227</v>
      </c>
      <c r="K217" s="11">
        <v>46230</v>
      </c>
      <c r="L217" s="11">
        <v>46231</v>
      </c>
      <c r="M217" s="1" t="s">
        <v>32</v>
      </c>
      <c r="N217" s="6">
        <v>20</v>
      </c>
      <c r="O217" s="6">
        <v>15</v>
      </c>
      <c r="P217" s="12">
        <f t="shared" si="79"/>
        <v>46242</v>
      </c>
      <c r="Q217" s="11">
        <f t="shared" ref="Q217:Q225" si="83">J217+O217-1</f>
        <v>46241</v>
      </c>
      <c r="R217" s="24">
        <f t="shared" ref="R217:R225" si="84">J217-P217</f>
        <v>-15</v>
      </c>
      <c r="S217" s="25">
        <f t="shared" ref="S217:S225" si="85">L217-Q217</f>
        <v>-10</v>
      </c>
      <c r="T217" s="23" t="str">
        <f t="shared" si="82"/>
        <v>No</v>
      </c>
      <c r="U217" s="23"/>
      <c r="V217" s="1" t="s">
        <v>473</v>
      </c>
    </row>
    <row r="218" spans="1:22" x14ac:dyDescent="0.3">
      <c r="A218" s="6">
        <v>217</v>
      </c>
      <c r="B218" s="1" t="s">
        <v>62</v>
      </c>
      <c r="C218" s="1" t="s">
        <v>474</v>
      </c>
      <c r="D218" s="1" t="s">
        <v>475</v>
      </c>
      <c r="E218" s="1">
        <v>1510002639</v>
      </c>
      <c r="F218" s="8" t="s">
        <v>9</v>
      </c>
      <c r="G218" s="1" t="s">
        <v>476</v>
      </c>
      <c r="H218" s="1" t="s">
        <v>66</v>
      </c>
      <c r="I218" s="11">
        <v>46231</v>
      </c>
      <c r="J218" s="11">
        <v>46263</v>
      </c>
      <c r="K218" s="11">
        <v>46284</v>
      </c>
      <c r="L218" s="11">
        <v>46284</v>
      </c>
      <c r="M218" s="1" t="s">
        <v>32</v>
      </c>
      <c r="N218" s="6">
        <v>20</v>
      </c>
      <c r="O218" s="6">
        <v>15</v>
      </c>
      <c r="P218" s="12">
        <f t="shared" si="79"/>
        <v>46250</v>
      </c>
      <c r="Q218" s="11">
        <f t="shared" si="83"/>
        <v>46277</v>
      </c>
      <c r="R218" s="24">
        <f t="shared" si="84"/>
        <v>13</v>
      </c>
      <c r="S218" s="25">
        <f t="shared" si="85"/>
        <v>7</v>
      </c>
      <c r="T218" s="23" t="str">
        <f t="shared" si="82"/>
        <v>To Paid</v>
      </c>
      <c r="U218" s="23"/>
      <c r="V218" s="1" t="s">
        <v>477</v>
      </c>
    </row>
    <row r="219" spans="1:22" x14ac:dyDescent="0.3">
      <c r="A219" s="6">
        <v>218</v>
      </c>
      <c r="B219" s="1" t="s">
        <v>62</v>
      </c>
      <c r="C219" s="1" t="s">
        <v>474</v>
      </c>
      <c r="D219" s="1" t="s">
        <v>478</v>
      </c>
      <c r="E219" s="1">
        <v>1510002639</v>
      </c>
      <c r="F219" s="8" t="s">
        <v>9</v>
      </c>
      <c r="G219" s="1" t="s">
        <v>476</v>
      </c>
      <c r="H219" s="1" t="s">
        <v>66</v>
      </c>
      <c r="I219" s="11">
        <v>46231</v>
      </c>
      <c r="J219" s="11">
        <v>46261</v>
      </c>
      <c r="K219" s="11">
        <v>46284</v>
      </c>
      <c r="L219" s="11">
        <v>46285</v>
      </c>
      <c r="M219" s="1" t="s">
        <v>32</v>
      </c>
      <c r="N219" s="6">
        <v>20</v>
      </c>
      <c r="O219" s="6">
        <v>15</v>
      </c>
      <c r="P219" s="12">
        <f t="shared" si="79"/>
        <v>46250</v>
      </c>
      <c r="Q219" s="11">
        <f t="shared" si="83"/>
        <v>46275</v>
      </c>
      <c r="R219" s="24">
        <f t="shared" si="84"/>
        <v>11</v>
      </c>
      <c r="S219" s="25">
        <f t="shared" si="85"/>
        <v>10</v>
      </c>
      <c r="T219" s="23" t="str">
        <f t="shared" si="82"/>
        <v>To Paid</v>
      </c>
      <c r="U219" s="23"/>
      <c r="V219" s="1" t="s">
        <v>477</v>
      </c>
    </row>
    <row r="220" spans="1:22" x14ac:dyDescent="0.3">
      <c r="A220" s="6">
        <v>219</v>
      </c>
      <c r="B220" s="1" t="s">
        <v>62</v>
      </c>
      <c r="C220" s="1" t="s">
        <v>474</v>
      </c>
      <c r="D220" s="1" t="s">
        <v>479</v>
      </c>
      <c r="E220" s="1">
        <v>1510002639</v>
      </c>
      <c r="F220" s="8" t="s">
        <v>9</v>
      </c>
      <c r="G220" s="1" t="s">
        <v>476</v>
      </c>
      <c r="H220" s="1" t="s">
        <v>66</v>
      </c>
      <c r="I220" s="11">
        <v>46231</v>
      </c>
      <c r="J220" s="11">
        <v>46261</v>
      </c>
      <c r="K220" s="11">
        <v>46283</v>
      </c>
      <c r="L220" s="11">
        <v>46283</v>
      </c>
      <c r="M220" s="1" t="s">
        <v>32</v>
      </c>
      <c r="N220" s="6">
        <v>20</v>
      </c>
      <c r="O220" s="6">
        <v>15</v>
      </c>
      <c r="P220" s="12">
        <f t="shared" si="79"/>
        <v>46250</v>
      </c>
      <c r="Q220" s="11">
        <f t="shared" si="83"/>
        <v>46275</v>
      </c>
      <c r="R220" s="24">
        <f t="shared" si="84"/>
        <v>11</v>
      </c>
      <c r="S220" s="25">
        <f t="shared" si="85"/>
        <v>8</v>
      </c>
      <c r="T220" s="23" t="str">
        <f t="shared" si="82"/>
        <v>To Paid</v>
      </c>
      <c r="U220" s="23"/>
      <c r="V220" s="1" t="s">
        <v>477</v>
      </c>
    </row>
    <row r="221" spans="1:22" x14ac:dyDescent="0.3">
      <c r="A221" s="6">
        <v>220</v>
      </c>
      <c r="B221" s="1" t="s">
        <v>62</v>
      </c>
      <c r="C221" s="1" t="s">
        <v>474</v>
      </c>
      <c r="D221" s="1" t="s">
        <v>480</v>
      </c>
      <c r="E221" s="1">
        <v>1510002639</v>
      </c>
      <c r="F221" s="8" t="s">
        <v>9</v>
      </c>
      <c r="G221" s="1" t="s">
        <v>476</v>
      </c>
      <c r="H221" s="1" t="s">
        <v>66</v>
      </c>
      <c r="I221" s="11">
        <v>46231</v>
      </c>
      <c r="J221" s="11">
        <v>46261</v>
      </c>
      <c r="K221" s="11">
        <v>46266</v>
      </c>
      <c r="L221" s="11">
        <v>46267</v>
      </c>
      <c r="M221" s="1" t="s">
        <v>32</v>
      </c>
      <c r="N221" s="6">
        <v>20</v>
      </c>
      <c r="O221" s="6">
        <v>15</v>
      </c>
      <c r="P221" s="12">
        <f t="shared" si="79"/>
        <v>46250</v>
      </c>
      <c r="Q221" s="11">
        <f t="shared" si="83"/>
        <v>46275</v>
      </c>
      <c r="R221" s="24">
        <f t="shared" si="84"/>
        <v>11</v>
      </c>
      <c r="S221" s="25">
        <f t="shared" si="85"/>
        <v>-8</v>
      </c>
      <c r="T221" s="23" t="str">
        <f t="shared" si="82"/>
        <v>To Paid</v>
      </c>
      <c r="U221" s="23"/>
      <c r="V221" s="1" t="s">
        <v>477</v>
      </c>
    </row>
    <row r="222" spans="1:22" x14ac:dyDescent="0.3">
      <c r="A222" s="6">
        <v>221</v>
      </c>
      <c r="B222" s="1" t="s">
        <v>62</v>
      </c>
      <c r="C222" s="1" t="s">
        <v>481</v>
      </c>
      <c r="D222" s="1" t="s">
        <v>482</v>
      </c>
      <c r="E222" s="1">
        <v>1510002640</v>
      </c>
      <c r="F222" s="8" t="s">
        <v>9</v>
      </c>
      <c r="G222" s="1" t="s">
        <v>483</v>
      </c>
      <c r="H222" s="1" t="s">
        <v>66</v>
      </c>
      <c r="I222" s="11">
        <v>46231</v>
      </c>
      <c r="J222" s="11">
        <v>46263</v>
      </c>
      <c r="K222" s="11">
        <v>46267</v>
      </c>
      <c r="L222" s="11">
        <v>46268</v>
      </c>
      <c r="M222" s="1" t="s">
        <v>32</v>
      </c>
      <c r="N222" s="6">
        <v>20</v>
      </c>
      <c r="O222" s="6">
        <v>15</v>
      </c>
      <c r="P222" s="12">
        <f t="shared" si="79"/>
        <v>46250</v>
      </c>
      <c r="Q222" s="11">
        <f t="shared" si="83"/>
        <v>46277</v>
      </c>
      <c r="R222" s="24">
        <f t="shared" si="84"/>
        <v>13</v>
      </c>
      <c r="S222" s="25">
        <f t="shared" si="85"/>
        <v>-9</v>
      </c>
      <c r="T222" s="23" t="str">
        <f t="shared" si="82"/>
        <v>To Paid</v>
      </c>
      <c r="U222" s="23"/>
      <c r="V222" s="1" t="s">
        <v>484</v>
      </c>
    </row>
    <row r="223" spans="1:22" x14ac:dyDescent="0.3">
      <c r="A223" s="6">
        <v>222</v>
      </c>
      <c r="B223" s="1" t="s">
        <v>62</v>
      </c>
      <c r="C223" s="1" t="s">
        <v>481</v>
      </c>
      <c r="D223" s="1" t="s">
        <v>485</v>
      </c>
      <c r="E223" s="1">
        <v>1510002640</v>
      </c>
      <c r="F223" s="8" t="s">
        <v>9</v>
      </c>
      <c r="G223" s="1" t="s">
        <v>483</v>
      </c>
      <c r="H223" s="1" t="s">
        <v>66</v>
      </c>
      <c r="I223" s="11">
        <v>46231</v>
      </c>
      <c r="J223" s="11">
        <v>46264</v>
      </c>
      <c r="K223" s="11">
        <v>46269</v>
      </c>
      <c r="L223" s="11">
        <v>46272</v>
      </c>
      <c r="M223" s="1" t="s">
        <v>32</v>
      </c>
      <c r="N223" s="6">
        <v>20</v>
      </c>
      <c r="O223" s="6">
        <v>15</v>
      </c>
      <c r="P223" s="12">
        <f t="shared" si="79"/>
        <v>46250</v>
      </c>
      <c r="Q223" s="11">
        <f t="shared" si="83"/>
        <v>46278</v>
      </c>
      <c r="R223" s="24">
        <f t="shared" si="84"/>
        <v>14</v>
      </c>
      <c r="S223" s="25">
        <f t="shared" si="85"/>
        <v>-6</v>
      </c>
      <c r="T223" s="23" t="str">
        <f t="shared" si="82"/>
        <v>To Paid</v>
      </c>
      <c r="U223" s="23"/>
      <c r="V223" s="1" t="s">
        <v>484</v>
      </c>
    </row>
    <row r="224" spans="1:22" x14ac:dyDescent="0.3">
      <c r="A224" s="6">
        <v>223</v>
      </c>
      <c r="B224" s="1" t="s">
        <v>62</v>
      </c>
      <c r="C224" s="1" t="s">
        <v>481</v>
      </c>
      <c r="D224" s="1" t="s">
        <v>486</v>
      </c>
      <c r="E224" s="1">
        <v>1510002640</v>
      </c>
      <c r="F224" s="8" t="s">
        <v>9</v>
      </c>
      <c r="G224" s="1" t="s">
        <v>483</v>
      </c>
      <c r="H224" s="1" t="s">
        <v>66</v>
      </c>
      <c r="I224" s="11">
        <v>46231</v>
      </c>
      <c r="J224" s="11">
        <v>46263</v>
      </c>
      <c r="K224" s="11">
        <v>46269</v>
      </c>
      <c r="L224" s="11">
        <v>46271</v>
      </c>
      <c r="M224" s="1" t="s">
        <v>32</v>
      </c>
      <c r="N224" s="6">
        <v>20</v>
      </c>
      <c r="O224" s="6">
        <v>15</v>
      </c>
      <c r="P224" s="12">
        <f t="shared" si="79"/>
        <v>46250</v>
      </c>
      <c r="Q224" s="11">
        <f t="shared" si="83"/>
        <v>46277</v>
      </c>
      <c r="R224" s="24">
        <f t="shared" si="84"/>
        <v>13</v>
      </c>
      <c r="S224" s="25">
        <f t="shared" si="85"/>
        <v>-6</v>
      </c>
      <c r="T224" s="23" t="str">
        <f t="shared" si="82"/>
        <v>To Paid</v>
      </c>
      <c r="U224" s="23"/>
      <c r="V224" s="1" t="s">
        <v>484</v>
      </c>
    </row>
    <row r="225" spans="1:22" x14ac:dyDescent="0.3">
      <c r="A225" s="6">
        <v>224</v>
      </c>
      <c r="B225" s="1" t="s">
        <v>62</v>
      </c>
      <c r="C225" s="1" t="s">
        <v>481</v>
      </c>
      <c r="D225" s="1" t="s">
        <v>487</v>
      </c>
      <c r="E225" s="1">
        <v>1510002640</v>
      </c>
      <c r="F225" s="8" t="s">
        <v>9</v>
      </c>
      <c r="G225" s="1" t="s">
        <v>483</v>
      </c>
      <c r="H225" s="1" t="s">
        <v>66</v>
      </c>
      <c r="I225" s="11">
        <v>46231</v>
      </c>
      <c r="J225" s="11">
        <v>46264</v>
      </c>
      <c r="K225" s="11">
        <v>46275</v>
      </c>
      <c r="L225" s="11">
        <v>46276</v>
      </c>
      <c r="M225" s="1" t="s">
        <v>32</v>
      </c>
      <c r="N225" s="6">
        <v>20</v>
      </c>
      <c r="O225" s="6">
        <v>15</v>
      </c>
      <c r="P225" s="12">
        <f t="shared" si="79"/>
        <v>46250</v>
      </c>
      <c r="Q225" s="11">
        <f t="shared" si="83"/>
        <v>46278</v>
      </c>
      <c r="R225" s="24">
        <f t="shared" si="84"/>
        <v>14</v>
      </c>
      <c r="S225" s="25">
        <f t="shared" si="85"/>
        <v>-2</v>
      </c>
      <c r="T225" s="23" t="str">
        <f t="shared" si="82"/>
        <v>To Paid</v>
      </c>
      <c r="U225" s="23"/>
      <c r="V225" s="1" t="s">
        <v>484</v>
      </c>
    </row>
    <row r="226" spans="1:22" x14ac:dyDescent="0.3">
      <c r="A226" s="6">
        <v>225</v>
      </c>
      <c r="B226" s="1" t="s">
        <v>488</v>
      </c>
      <c r="C226" s="1" t="s">
        <v>489</v>
      </c>
      <c r="D226" s="1" t="s">
        <v>490</v>
      </c>
      <c r="E226" s="1">
        <v>1510003227</v>
      </c>
      <c r="F226" s="8" t="s">
        <v>9</v>
      </c>
      <c r="G226" s="1" t="s">
        <v>491</v>
      </c>
      <c r="H226" s="1" t="s">
        <v>25</v>
      </c>
      <c r="I226" s="11">
        <v>46219</v>
      </c>
      <c r="J226" s="11">
        <v>46221</v>
      </c>
      <c r="K226" s="11">
        <v>46224</v>
      </c>
      <c r="L226" s="11">
        <v>46225</v>
      </c>
      <c r="M226" s="1" t="s">
        <v>26</v>
      </c>
      <c r="N226" s="6">
        <v>7</v>
      </c>
      <c r="O226" s="6">
        <v>7</v>
      </c>
      <c r="P226" s="12">
        <f t="shared" si="79"/>
        <v>46225</v>
      </c>
      <c r="Q226" s="12">
        <f t="shared" si="79"/>
        <v>46227</v>
      </c>
      <c r="R226" s="24">
        <f t="shared" si="81"/>
        <v>-4</v>
      </c>
      <c r="S226" s="25">
        <f t="shared" si="80"/>
        <v>-2</v>
      </c>
      <c r="T226" s="23" t="str">
        <f t="shared" si="82"/>
        <v>No</v>
      </c>
      <c r="U226" s="23"/>
      <c r="V226" s="1" t="s">
        <v>492</v>
      </c>
    </row>
    <row r="227" spans="1:22" x14ac:dyDescent="0.3">
      <c r="A227" s="6">
        <v>226</v>
      </c>
      <c r="B227" s="1" t="s">
        <v>488</v>
      </c>
      <c r="C227" s="1" t="s">
        <v>489</v>
      </c>
      <c r="D227" s="1" t="s">
        <v>493</v>
      </c>
      <c r="E227" s="1">
        <v>1510003227</v>
      </c>
      <c r="F227" s="8" t="s">
        <v>9</v>
      </c>
      <c r="G227" s="1" t="s">
        <v>491</v>
      </c>
      <c r="H227" s="1" t="s">
        <v>25</v>
      </c>
      <c r="I227" s="11">
        <v>46219</v>
      </c>
      <c r="J227" s="11">
        <v>46221</v>
      </c>
      <c r="K227" s="11">
        <v>46223</v>
      </c>
      <c r="L227" s="11">
        <v>46223</v>
      </c>
      <c r="M227" s="1" t="s">
        <v>26</v>
      </c>
      <c r="N227" s="6">
        <v>7</v>
      </c>
      <c r="O227" s="6">
        <v>7</v>
      </c>
      <c r="P227" s="12">
        <f t="shared" si="79"/>
        <v>46225</v>
      </c>
      <c r="Q227" s="12">
        <f t="shared" si="79"/>
        <v>46227</v>
      </c>
      <c r="R227" s="24">
        <f t="shared" si="81"/>
        <v>-4</v>
      </c>
      <c r="S227" s="25">
        <f t="shared" ref="S227:S280" si="86">L227-Q227</f>
        <v>-4</v>
      </c>
      <c r="T227" s="23" t="str">
        <f t="shared" si="82"/>
        <v>No</v>
      </c>
      <c r="U227" s="23"/>
      <c r="V227" s="1" t="s">
        <v>492</v>
      </c>
    </row>
    <row r="228" spans="1:22" x14ac:dyDescent="0.3">
      <c r="A228" s="6">
        <v>227</v>
      </c>
      <c r="B228" s="1" t="s">
        <v>28</v>
      </c>
      <c r="C228" s="1" t="s">
        <v>494</v>
      </c>
      <c r="D228" s="1" t="s">
        <v>495</v>
      </c>
      <c r="E228" s="1">
        <v>1510003120</v>
      </c>
      <c r="F228" s="8" t="s">
        <v>9</v>
      </c>
      <c r="G228" s="1" t="s">
        <v>496</v>
      </c>
      <c r="H228" s="1" t="s">
        <v>132</v>
      </c>
      <c r="I228" s="11">
        <v>46242</v>
      </c>
      <c r="J228" s="11">
        <v>46247</v>
      </c>
      <c r="K228" s="11">
        <v>46248</v>
      </c>
      <c r="L228" s="11">
        <v>46251</v>
      </c>
      <c r="M228" s="1" t="s">
        <v>32</v>
      </c>
      <c r="N228" s="6">
        <v>7</v>
      </c>
      <c r="O228" s="6">
        <v>7</v>
      </c>
      <c r="P228" s="12">
        <f t="shared" si="79"/>
        <v>46248</v>
      </c>
      <c r="Q228" s="12">
        <f t="shared" si="79"/>
        <v>46253</v>
      </c>
      <c r="R228" s="24">
        <f t="shared" si="81"/>
        <v>-1</v>
      </c>
      <c r="S228" s="25">
        <f t="shared" si="86"/>
        <v>-2</v>
      </c>
      <c r="T228" s="23" t="str">
        <f t="shared" si="82"/>
        <v>No</v>
      </c>
      <c r="U228" s="23"/>
      <c r="V228" s="1" t="s">
        <v>497</v>
      </c>
    </row>
    <row r="229" spans="1:22" x14ac:dyDescent="0.3">
      <c r="A229" s="6">
        <v>228</v>
      </c>
      <c r="B229" s="1" t="s">
        <v>41</v>
      </c>
      <c r="C229" s="1" t="s">
        <v>498</v>
      </c>
      <c r="D229" s="1" t="s">
        <v>499</v>
      </c>
      <c r="E229" s="1">
        <v>1510002477</v>
      </c>
      <c r="F229" s="8" t="s">
        <v>9</v>
      </c>
      <c r="G229" s="1" t="s">
        <v>500</v>
      </c>
      <c r="H229" s="1" t="s">
        <v>25</v>
      </c>
      <c r="I229" s="11">
        <v>46226</v>
      </c>
      <c r="J229" s="11">
        <v>46227</v>
      </c>
      <c r="K229" s="11">
        <v>46237</v>
      </c>
      <c r="L229" s="11">
        <v>46238</v>
      </c>
      <c r="M229" s="1" t="s">
        <v>26</v>
      </c>
      <c r="N229" s="6">
        <v>14</v>
      </c>
      <c r="O229" s="6">
        <v>14</v>
      </c>
      <c r="P229" s="12">
        <f t="shared" si="79"/>
        <v>46239</v>
      </c>
      <c r="Q229" s="12">
        <f t="shared" si="79"/>
        <v>46240</v>
      </c>
      <c r="R229" s="24">
        <f t="shared" si="81"/>
        <v>-12</v>
      </c>
      <c r="S229" s="25">
        <f t="shared" si="86"/>
        <v>-2</v>
      </c>
      <c r="T229" s="23" t="str">
        <f t="shared" si="82"/>
        <v>No</v>
      </c>
      <c r="U229" s="23"/>
      <c r="V229" s="1" t="s">
        <v>501</v>
      </c>
    </row>
    <row r="230" spans="1:22" x14ac:dyDescent="0.3">
      <c r="A230" s="6">
        <v>229</v>
      </c>
      <c r="B230" s="1" t="s">
        <v>21</v>
      </c>
      <c r="C230" s="1" t="s">
        <v>502</v>
      </c>
      <c r="D230" s="1" t="s">
        <v>503</v>
      </c>
      <c r="E230" s="1">
        <v>9700018419</v>
      </c>
      <c r="F230" s="8" t="s">
        <v>9</v>
      </c>
      <c r="G230" s="1" t="s">
        <v>504</v>
      </c>
      <c r="H230" s="1" t="s">
        <v>25</v>
      </c>
      <c r="I230" s="11">
        <v>46223</v>
      </c>
      <c r="J230" s="11">
        <v>46228</v>
      </c>
      <c r="K230" s="11">
        <v>46239</v>
      </c>
      <c r="L230" s="11">
        <v>46239</v>
      </c>
      <c r="M230" s="1" t="s">
        <v>26</v>
      </c>
      <c r="N230" s="6">
        <v>14</v>
      </c>
      <c r="O230" s="6">
        <v>14</v>
      </c>
      <c r="P230" s="12">
        <f t="shared" ref="P230:Q280" si="87">I230+N230-1</f>
        <v>46236</v>
      </c>
      <c r="Q230" s="12">
        <f t="shared" si="87"/>
        <v>46241</v>
      </c>
      <c r="R230" s="24">
        <f t="shared" si="81"/>
        <v>-8</v>
      </c>
      <c r="S230" s="25">
        <f t="shared" si="86"/>
        <v>-2</v>
      </c>
      <c r="T230" s="23" t="str">
        <f t="shared" si="82"/>
        <v>No</v>
      </c>
      <c r="U230" s="23"/>
      <c r="V230" s="1" t="s">
        <v>505</v>
      </c>
    </row>
    <row r="231" spans="1:22" x14ac:dyDescent="0.3">
      <c r="A231" s="6">
        <v>230</v>
      </c>
      <c r="B231" s="1" t="s">
        <v>21</v>
      </c>
      <c r="C231" s="1" t="s">
        <v>502</v>
      </c>
      <c r="D231" s="1" t="s">
        <v>506</v>
      </c>
      <c r="E231" s="1">
        <v>9700018419</v>
      </c>
      <c r="F231" s="8" t="s">
        <v>9</v>
      </c>
      <c r="G231" s="1" t="s">
        <v>507</v>
      </c>
      <c r="H231" s="1" t="s">
        <v>25</v>
      </c>
      <c r="I231" s="11">
        <v>46223</v>
      </c>
      <c r="J231" s="11">
        <v>46232</v>
      </c>
      <c r="K231" s="11">
        <v>46239</v>
      </c>
      <c r="L231" s="11">
        <v>46240</v>
      </c>
      <c r="M231" s="1" t="s">
        <v>26</v>
      </c>
      <c r="N231" s="6">
        <v>14</v>
      </c>
      <c r="O231" s="6">
        <v>14</v>
      </c>
      <c r="P231" s="12">
        <f t="shared" si="87"/>
        <v>46236</v>
      </c>
      <c r="Q231" s="12">
        <f t="shared" si="87"/>
        <v>46245</v>
      </c>
      <c r="R231" s="24">
        <f t="shared" ref="R231:R280" si="88">J231-P231</f>
        <v>-4</v>
      </c>
      <c r="S231" s="25">
        <f t="shared" si="86"/>
        <v>-5</v>
      </c>
      <c r="T231" s="23" t="str">
        <f t="shared" si="82"/>
        <v>No</v>
      </c>
      <c r="U231" s="23"/>
      <c r="V231" s="1" t="s">
        <v>505</v>
      </c>
    </row>
    <row r="232" spans="1:22" x14ac:dyDescent="0.3">
      <c r="A232" s="6">
        <v>231</v>
      </c>
      <c r="B232" s="1" t="s">
        <v>21</v>
      </c>
      <c r="C232" s="1" t="s">
        <v>502</v>
      </c>
      <c r="D232" s="1" t="s">
        <v>508</v>
      </c>
      <c r="E232" s="1">
        <v>9700018419</v>
      </c>
      <c r="F232" s="8" t="s">
        <v>9</v>
      </c>
      <c r="G232" s="1" t="s">
        <v>400</v>
      </c>
      <c r="H232" s="1" t="s">
        <v>25</v>
      </c>
      <c r="I232" s="11">
        <v>46223</v>
      </c>
      <c r="J232" s="11">
        <v>46227</v>
      </c>
      <c r="K232" s="11">
        <v>46232</v>
      </c>
      <c r="L232" s="11">
        <v>46233</v>
      </c>
      <c r="M232" s="1" t="s">
        <v>26</v>
      </c>
      <c r="N232" s="6">
        <v>14</v>
      </c>
      <c r="O232" s="6">
        <v>14</v>
      </c>
      <c r="P232" s="12">
        <f t="shared" si="87"/>
        <v>46236</v>
      </c>
      <c r="Q232" s="12">
        <f t="shared" si="87"/>
        <v>46240</v>
      </c>
      <c r="R232" s="24">
        <f t="shared" si="88"/>
        <v>-9</v>
      </c>
      <c r="S232" s="25">
        <f t="shared" si="86"/>
        <v>-7</v>
      </c>
      <c r="T232" s="23" t="str">
        <f t="shared" si="82"/>
        <v>No</v>
      </c>
      <c r="U232" s="23"/>
      <c r="V232" s="1" t="s">
        <v>505</v>
      </c>
    </row>
    <row r="233" spans="1:22" x14ac:dyDescent="0.3">
      <c r="A233" s="6">
        <v>232</v>
      </c>
      <c r="B233" s="1" t="s">
        <v>21</v>
      </c>
      <c r="C233" s="1" t="s">
        <v>502</v>
      </c>
      <c r="D233" s="1" t="s">
        <v>509</v>
      </c>
      <c r="E233" s="1">
        <v>9700018419</v>
      </c>
      <c r="F233" s="8" t="s">
        <v>9</v>
      </c>
      <c r="G233" s="1" t="s">
        <v>400</v>
      </c>
      <c r="H233" s="1" t="s">
        <v>25</v>
      </c>
      <c r="I233" s="11">
        <v>46223</v>
      </c>
      <c r="J233" s="11">
        <v>46231</v>
      </c>
      <c r="K233" s="11">
        <v>46233</v>
      </c>
      <c r="L233" s="11">
        <v>46234</v>
      </c>
      <c r="M233" s="1" t="s">
        <v>26</v>
      </c>
      <c r="N233" s="6">
        <v>14</v>
      </c>
      <c r="O233" s="6">
        <v>14</v>
      </c>
      <c r="P233" s="12">
        <f t="shared" si="87"/>
        <v>46236</v>
      </c>
      <c r="Q233" s="12">
        <f t="shared" si="87"/>
        <v>46244</v>
      </c>
      <c r="R233" s="24">
        <f t="shared" si="88"/>
        <v>-5</v>
      </c>
      <c r="S233" s="25">
        <f t="shared" si="86"/>
        <v>-10</v>
      </c>
      <c r="T233" s="23" t="str">
        <f t="shared" si="82"/>
        <v>No</v>
      </c>
      <c r="U233" s="23"/>
      <c r="V233" s="1" t="s">
        <v>505</v>
      </c>
    </row>
    <row r="234" spans="1:22" x14ac:dyDescent="0.3">
      <c r="A234" s="6">
        <v>233</v>
      </c>
      <c r="B234" s="1" t="s">
        <v>21</v>
      </c>
      <c r="C234" s="1" t="s">
        <v>502</v>
      </c>
      <c r="D234" s="1" t="s">
        <v>510</v>
      </c>
      <c r="E234" s="1">
        <v>9700018419</v>
      </c>
      <c r="F234" s="8" t="s">
        <v>9</v>
      </c>
      <c r="G234" s="1" t="s">
        <v>511</v>
      </c>
      <c r="H234" s="1" t="s">
        <v>25</v>
      </c>
      <c r="I234" s="11">
        <v>46223</v>
      </c>
      <c r="J234" s="11">
        <v>46232</v>
      </c>
      <c r="K234" s="11">
        <v>46234</v>
      </c>
      <c r="L234" s="11">
        <v>46237</v>
      </c>
      <c r="M234" s="1" t="s">
        <v>26</v>
      </c>
      <c r="N234" s="6">
        <v>14</v>
      </c>
      <c r="O234" s="6">
        <v>14</v>
      </c>
      <c r="P234" s="12">
        <f t="shared" si="87"/>
        <v>46236</v>
      </c>
      <c r="Q234" s="12">
        <f t="shared" si="87"/>
        <v>46245</v>
      </c>
      <c r="R234" s="24">
        <f t="shared" si="88"/>
        <v>-4</v>
      </c>
      <c r="S234" s="25">
        <f t="shared" si="86"/>
        <v>-8</v>
      </c>
      <c r="T234" s="23" t="str">
        <f t="shared" si="82"/>
        <v>No</v>
      </c>
      <c r="U234" s="23"/>
      <c r="V234" s="1" t="s">
        <v>505</v>
      </c>
    </row>
    <row r="235" spans="1:22" x14ac:dyDescent="0.3">
      <c r="A235" s="6">
        <v>234</v>
      </c>
      <c r="B235" s="1" t="s">
        <v>21</v>
      </c>
      <c r="C235" s="1" t="s">
        <v>502</v>
      </c>
      <c r="D235" s="1" t="s">
        <v>512</v>
      </c>
      <c r="E235" s="1">
        <v>9700018419</v>
      </c>
      <c r="F235" s="8" t="s">
        <v>9</v>
      </c>
      <c r="G235" s="1" t="s">
        <v>511</v>
      </c>
      <c r="H235" s="1" t="s">
        <v>25</v>
      </c>
      <c r="I235" s="11">
        <v>46223</v>
      </c>
      <c r="J235" s="11">
        <v>46228</v>
      </c>
      <c r="K235" s="11">
        <v>46233</v>
      </c>
      <c r="L235" s="11">
        <v>46234</v>
      </c>
      <c r="M235" s="1" t="s">
        <v>26</v>
      </c>
      <c r="N235" s="6">
        <v>14</v>
      </c>
      <c r="O235" s="6">
        <v>14</v>
      </c>
      <c r="P235" s="12">
        <f t="shared" si="87"/>
        <v>46236</v>
      </c>
      <c r="Q235" s="12">
        <f t="shared" si="87"/>
        <v>46241</v>
      </c>
      <c r="R235" s="24">
        <f t="shared" si="88"/>
        <v>-8</v>
      </c>
      <c r="S235" s="25">
        <f t="shared" si="86"/>
        <v>-7</v>
      </c>
      <c r="T235" s="23" t="str">
        <f t="shared" si="82"/>
        <v>No</v>
      </c>
      <c r="U235" s="23"/>
      <c r="V235" s="1" t="s">
        <v>505</v>
      </c>
    </row>
    <row r="236" spans="1:22" x14ac:dyDescent="0.3">
      <c r="A236" s="6">
        <v>235</v>
      </c>
      <c r="B236" s="1" t="s">
        <v>21</v>
      </c>
      <c r="C236" s="1" t="s">
        <v>502</v>
      </c>
      <c r="D236" s="1" t="s">
        <v>513</v>
      </c>
      <c r="E236" s="1">
        <v>9700018419</v>
      </c>
      <c r="F236" s="8" t="s">
        <v>9</v>
      </c>
      <c r="G236" s="1" t="s">
        <v>393</v>
      </c>
      <c r="H236" s="1" t="s">
        <v>25</v>
      </c>
      <c r="I236" s="11">
        <v>46223</v>
      </c>
      <c r="J236" s="11">
        <v>46228</v>
      </c>
      <c r="K236" s="11">
        <v>46239</v>
      </c>
      <c r="L236" s="11">
        <v>46240</v>
      </c>
      <c r="M236" s="1" t="s">
        <v>26</v>
      </c>
      <c r="N236" s="6">
        <v>14</v>
      </c>
      <c r="O236" s="6">
        <v>14</v>
      </c>
      <c r="P236" s="12">
        <f t="shared" si="87"/>
        <v>46236</v>
      </c>
      <c r="Q236" s="12">
        <f t="shared" si="87"/>
        <v>46241</v>
      </c>
      <c r="R236" s="24">
        <f t="shared" si="88"/>
        <v>-8</v>
      </c>
      <c r="S236" s="25">
        <f t="shared" si="86"/>
        <v>-1</v>
      </c>
      <c r="T236" s="23" t="str">
        <f t="shared" si="82"/>
        <v>No</v>
      </c>
      <c r="U236" s="23"/>
      <c r="V236" s="1" t="s">
        <v>505</v>
      </c>
    </row>
    <row r="237" spans="1:22" x14ac:dyDescent="0.3">
      <c r="A237" s="6">
        <v>236</v>
      </c>
      <c r="B237" s="1" t="s">
        <v>21</v>
      </c>
      <c r="C237" s="1" t="s">
        <v>502</v>
      </c>
      <c r="D237" s="1" t="s">
        <v>514</v>
      </c>
      <c r="E237" s="1">
        <v>9700018419</v>
      </c>
      <c r="F237" s="8" t="s">
        <v>9</v>
      </c>
      <c r="G237" s="1" t="s">
        <v>393</v>
      </c>
      <c r="H237" s="1" t="s">
        <v>25</v>
      </c>
      <c r="I237" s="11">
        <v>46223</v>
      </c>
      <c r="J237" s="11">
        <v>46232</v>
      </c>
      <c r="K237" s="11">
        <v>46241</v>
      </c>
      <c r="L237" s="11">
        <v>46241</v>
      </c>
      <c r="M237" s="1" t="s">
        <v>26</v>
      </c>
      <c r="N237" s="6">
        <v>14</v>
      </c>
      <c r="O237" s="6">
        <v>14</v>
      </c>
      <c r="P237" s="12">
        <f t="shared" si="87"/>
        <v>46236</v>
      </c>
      <c r="Q237" s="12">
        <f t="shared" si="87"/>
        <v>46245</v>
      </c>
      <c r="R237" s="24">
        <f t="shared" si="88"/>
        <v>-4</v>
      </c>
      <c r="S237" s="25">
        <f t="shared" si="86"/>
        <v>-4</v>
      </c>
      <c r="T237" s="23" t="str">
        <f t="shared" si="82"/>
        <v>No</v>
      </c>
      <c r="U237" s="23"/>
      <c r="V237" s="1" t="s">
        <v>505</v>
      </c>
    </row>
    <row r="238" spans="1:22" x14ac:dyDescent="0.3">
      <c r="A238" s="6">
        <v>237</v>
      </c>
      <c r="B238" s="1" t="s">
        <v>21</v>
      </c>
      <c r="C238" s="1" t="s">
        <v>502</v>
      </c>
      <c r="D238" s="1" t="s">
        <v>515</v>
      </c>
      <c r="E238" s="1">
        <v>9700018419</v>
      </c>
      <c r="F238" s="8" t="s">
        <v>9</v>
      </c>
      <c r="G238" s="1" t="s">
        <v>393</v>
      </c>
      <c r="H238" s="1" t="s">
        <v>25</v>
      </c>
      <c r="I238" s="11">
        <v>46223</v>
      </c>
      <c r="J238" s="11">
        <v>46233</v>
      </c>
      <c r="K238" s="11">
        <v>46241</v>
      </c>
      <c r="L238" s="11">
        <v>46242</v>
      </c>
      <c r="M238" s="1" t="s">
        <v>26</v>
      </c>
      <c r="N238" s="6">
        <v>14</v>
      </c>
      <c r="O238" s="6">
        <v>14</v>
      </c>
      <c r="P238" s="12">
        <f t="shared" si="87"/>
        <v>46236</v>
      </c>
      <c r="Q238" s="12">
        <f t="shared" si="87"/>
        <v>46246</v>
      </c>
      <c r="R238" s="24">
        <f t="shared" si="88"/>
        <v>-3</v>
      </c>
      <c r="S238" s="25">
        <f t="shared" si="86"/>
        <v>-4</v>
      </c>
      <c r="T238" s="23" t="str">
        <f t="shared" si="82"/>
        <v>No</v>
      </c>
      <c r="U238" s="23"/>
      <c r="V238" s="1" t="s">
        <v>505</v>
      </c>
    </row>
    <row r="239" spans="1:22" x14ac:dyDescent="0.3">
      <c r="A239" s="6">
        <v>238</v>
      </c>
      <c r="B239" s="1" t="s">
        <v>21</v>
      </c>
      <c r="C239" s="1" t="s">
        <v>502</v>
      </c>
      <c r="D239" s="1" t="s">
        <v>516</v>
      </c>
      <c r="E239" s="1">
        <v>9700018419</v>
      </c>
      <c r="F239" s="8" t="s">
        <v>9</v>
      </c>
      <c r="G239" s="1" t="s">
        <v>400</v>
      </c>
      <c r="H239" s="1" t="s">
        <v>25</v>
      </c>
      <c r="I239" s="11">
        <v>46223</v>
      </c>
      <c r="J239" s="11">
        <v>46231</v>
      </c>
      <c r="K239" s="11">
        <v>46233</v>
      </c>
      <c r="L239" s="11">
        <v>46237</v>
      </c>
      <c r="M239" s="1" t="s">
        <v>26</v>
      </c>
      <c r="N239" s="6">
        <v>14</v>
      </c>
      <c r="O239" s="6">
        <v>14</v>
      </c>
      <c r="P239" s="12">
        <f t="shared" si="87"/>
        <v>46236</v>
      </c>
      <c r="Q239" s="12">
        <f t="shared" si="87"/>
        <v>46244</v>
      </c>
      <c r="R239" s="24">
        <f t="shared" si="88"/>
        <v>-5</v>
      </c>
      <c r="S239" s="25">
        <f t="shared" si="86"/>
        <v>-7</v>
      </c>
      <c r="T239" s="23" t="str">
        <f t="shared" si="82"/>
        <v>No</v>
      </c>
      <c r="U239" s="23"/>
      <c r="V239" s="1" t="s">
        <v>505</v>
      </c>
    </row>
    <row r="240" spans="1:22" x14ac:dyDescent="0.3">
      <c r="A240" s="6">
        <v>239</v>
      </c>
      <c r="B240" s="1" t="s">
        <v>21</v>
      </c>
      <c r="C240" s="1" t="s">
        <v>502</v>
      </c>
      <c r="D240" s="1" t="s">
        <v>517</v>
      </c>
      <c r="E240" s="1">
        <v>9700018419</v>
      </c>
      <c r="F240" s="8" t="s">
        <v>9</v>
      </c>
      <c r="G240" s="1" t="s">
        <v>400</v>
      </c>
      <c r="H240" s="1" t="s">
        <v>25</v>
      </c>
      <c r="I240" s="11">
        <v>46223</v>
      </c>
      <c r="J240" s="11">
        <v>46231</v>
      </c>
      <c r="K240" s="11">
        <v>46239</v>
      </c>
      <c r="L240" s="11">
        <v>46241</v>
      </c>
      <c r="M240" s="1" t="s">
        <v>26</v>
      </c>
      <c r="N240" s="6">
        <v>14</v>
      </c>
      <c r="O240" s="6">
        <v>14</v>
      </c>
      <c r="P240" s="12">
        <f t="shared" si="87"/>
        <v>46236</v>
      </c>
      <c r="Q240" s="12">
        <f t="shared" si="87"/>
        <v>46244</v>
      </c>
      <c r="R240" s="24">
        <f t="shared" si="88"/>
        <v>-5</v>
      </c>
      <c r="S240" s="25">
        <f t="shared" si="86"/>
        <v>-3</v>
      </c>
      <c r="T240" s="23" t="str">
        <f t="shared" si="82"/>
        <v>No</v>
      </c>
      <c r="U240" s="23"/>
      <c r="V240" s="1" t="s">
        <v>505</v>
      </c>
    </row>
    <row r="241" spans="1:22" x14ac:dyDescent="0.3">
      <c r="A241" s="6">
        <v>240</v>
      </c>
      <c r="B241" s="1" t="s">
        <v>21</v>
      </c>
      <c r="C241" s="1" t="s">
        <v>502</v>
      </c>
      <c r="D241" s="1" t="s">
        <v>518</v>
      </c>
      <c r="E241" s="1">
        <v>9700018419</v>
      </c>
      <c r="F241" s="8" t="s">
        <v>9</v>
      </c>
      <c r="G241" s="1" t="s">
        <v>400</v>
      </c>
      <c r="H241" s="1" t="s">
        <v>25</v>
      </c>
      <c r="I241" s="11">
        <v>46223</v>
      </c>
      <c r="J241" s="11">
        <v>46232</v>
      </c>
      <c r="K241" s="11">
        <v>46241</v>
      </c>
      <c r="L241" s="11">
        <v>46242</v>
      </c>
      <c r="M241" s="1" t="s">
        <v>26</v>
      </c>
      <c r="N241" s="6">
        <v>14</v>
      </c>
      <c r="O241" s="6">
        <v>14</v>
      </c>
      <c r="P241" s="12">
        <f t="shared" si="87"/>
        <v>46236</v>
      </c>
      <c r="Q241" s="12">
        <f t="shared" si="87"/>
        <v>46245</v>
      </c>
      <c r="R241" s="24">
        <f t="shared" si="88"/>
        <v>-4</v>
      </c>
      <c r="S241" s="25">
        <f t="shared" si="86"/>
        <v>-3</v>
      </c>
      <c r="T241" s="23" t="str">
        <f t="shared" si="82"/>
        <v>No</v>
      </c>
      <c r="U241" s="23"/>
      <c r="V241" s="1" t="s">
        <v>505</v>
      </c>
    </row>
    <row r="242" spans="1:22" x14ac:dyDescent="0.3">
      <c r="A242" s="6">
        <v>241</v>
      </c>
      <c r="B242" s="1" t="s">
        <v>21</v>
      </c>
      <c r="C242" s="1" t="s">
        <v>502</v>
      </c>
      <c r="D242" s="1" t="s">
        <v>519</v>
      </c>
      <c r="E242" s="1">
        <v>9700018419</v>
      </c>
      <c r="F242" s="8" t="s">
        <v>9</v>
      </c>
      <c r="G242" s="1" t="s">
        <v>400</v>
      </c>
      <c r="H242" s="1" t="s">
        <v>25</v>
      </c>
      <c r="I242" s="11">
        <v>46223</v>
      </c>
      <c r="J242" s="11">
        <v>46233</v>
      </c>
      <c r="K242" s="11">
        <v>46241</v>
      </c>
      <c r="L242" s="11">
        <v>46241</v>
      </c>
      <c r="M242" s="1" t="s">
        <v>26</v>
      </c>
      <c r="N242" s="6">
        <v>14</v>
      </c>
      <c r="O242" s="6">
        <v>14</v>
      </c>
      <c r="P242" s="12">
        <f t="shared" si="87"/>
        <v>46236</v>
      </c>
      <c r="Q242" s="12">
        <f t="shared" si="87"/>
        <v>46246</v>
      </c>
      <c r="R242" s="24">
        <f t="shared" si="88"/>
        <v>-3</v>
      </c>
      <c r="S242" s="25">
        <f t="shared" si="86"/>
        <v>-5</v>
      </c>
      <c r="T242" s="23" t="str">
        <f t="shared" si="82"/>
        <v>No</v>
      </c>
      <c r="U242" s="23"/>
      <c r="V242" s="1" t="s">
        <v>505</v>
      </c>
    </row>
    <row r="243" spans="1:22" x14ac:dyDescent="0.3">
      <c r="A243" s="6">
        <v>242</v>
      </c>
      <c r="B243" s="1" t="s">
        <v>21</v>
      </c>
      <c r="C243" s="1" t="s">
        <v>520</v>
      </c>
      <c r="D243" s="1" t="s">
        <v>521</v>
      </c>
      <c r="E243" s="1">
        <v>9700018420</v>
      </c>
      <c r="F243" s="8" t="s">
        <v>9</v>
      </c>
      <c r="G243" s="1" t="s">
        <v>361</v>
      </c>
      <c r="H243" s="1" t="s">
        <v>25</v>
      </c>
      <c r="I243" s="11">
        <v>46223</v>
      </c>
      <c r="J243" s="11">
        <v>46226</v>
      </c>
      <c r="K243" s="11">
        <v>46227</v>
      </c>
      <c r="L243" s="11">
        <v>46227</v>
      </c>
      <c r="M243" s="1" t="s">
        <v>26</v>
      </c>
      <c r="N243" s="6">
        <v>14</v>
      </c>
      <c r="O243" s="6">
        <v>14</v>
      </c>
      <c r="P243" s="12">
        <f t="shared" si="87"/>
        <v>46236</v>
      </c>
      <c r="Q243" s="12">
        <f t="shared" si="87"/>
        <v>46239</v>
      </c>
      <c r="R243" s="24">
        <f t="shared" si="88"/>
        <v>-10</v>
      </c>
      <c r="S243" s="25">
        <f t="shared" si="86"/>
        <v>-12</v>
      </c>
      <c r="T243" s="23" t="str">
        <f t="shared" si="82"/>
        <v>No</v>
      </c>
      <c r="U243" s="23"/>
      <c r="V243" s="1" t="s">
        <v>522</v>
      </c>
    </row>
    <row r="244" spans="1:22" x14ac:dyDescent="0.3">
      <c r="A244" s="6">
        <v>243</v>
      </c>
      <c r="B244" s="1" t="s">
        <v>21</v>
      </c>
      <c r="C244" s="1" t="s">
        <v>520</v>
      </c>
      <c r="D244" s="1" t="s">
        <v>523</v>
      </c>
      <c r="E244" s="1">
        <v>9700018420</v>
      </c>
      <c r="F244" s="8" t="s">
        <v>9</v>
      </c>
      <c r="G244" s="1" t="s">
        <v>361</v>
      </c>
      <c r="H244" s="1" t="s">
        <v>25</v>
      </c>
      <c r="I244" s="11">
        <v>46223</v>
      </c>
      <c r="J244" s="11">
        <v>46226</v>
      </c>
      <c r="K244" s="11">
        <v>46230</v>
      </c>
      <c r="L244" s="11">
        <v>46231</v>
      </c>
      <c r="M244" s="1" t="s">
        <v>26</v>
      </c>
      <c r="N244" s="6">
        <v>14</v>
      </c>
      <c r="O244" s="6">
        <v>14</v>
      </c>
      <c r="P244" s="12">
        <f t="shared" si="87"/>
        <v>46236</v>
      </c>
      <c r="Q244" s="12">
        <f t="shared" si="87"/>
        <v>46239</v>
      </c>
      <c r="R244" s="24">
        <f t="shared" si="88"/>
        <v>-10</v>
      </c>
      <c r="S244" s="25">
        <f t="shared" si="86"/>
        <v>-8</v>
      </c>
      <c r="T244" s="23" t="str">
        <f t="shared" si="82"/>
        <v>No</v>
      </c>
      <c r="U244" s="23"/>
      <c r="V244" s="1" t="s">
        <v>522</v>
      </c>
    </row>
    <row r="245" spans="1:22" x14ac:dyDescent="0.3">
      <c r="A245" s="6">
        <v>244</v>
      </c>
      <c r="B245" s="1" t="s">
        <v>21</v>
      </c>
      <c r="C245" s="1" t="s">
        <v>520</v>
      </c>
      <c r="D245" s="1" t="s">
        <v>524</v>
      </c>
      <c r="E245" s="1">
        <v>9700018420</v>
      </c>
      <c r="F245" s="8" t="s">
        <v>9</v>
      </c>
      <c r="G245" s="1" t="s">
        <v>361</v>
      </c>
      <c r="H245" s="1" t="s">
        <v>25</v>
      </c>
      <c r="I245" s="11">
        <v>46223</v>
      </c>
      <c r="J245" s="11">
        <v>46226</v>
      </c>
      <c r="K245" s="11">
        <v>46231</v>
      </c>
      <c r="L245" s="11">
        <v>46231</v>
      </c>
      <c r="M245" s="1" t="s">
        <v>26</v>
      </c>
      <c r="N245" s="6">
        <v>14</v>
      </c>
      <c r="O245" s="6">
        <v>14</v>
      </c>
      <c r="P245" s="12">
        <f t="shared" si="87"/>
        <v>46236</v>
      </c>
      <c r="Q245" s="12">
        <f t="shared" si="87"/>
        <v>46239</v>
      </c>
      <c r="R245" s="24">
        <f t="shared" si="88"/>
        <v>-10</v>
      </c>
      <c r="S245" s="25">
        <f t="shared" si="86"/>
        <v>-8</v>
      </c>
      <c r="T245" s="23" t="str">
        <f t="shared" si="82"/>
        <v>No</v>
      </c>
      <c r="U245" s="23"/>
      <c r="V245" s="1" t="s">
        <v>522</v>
      </c>
    </row>
    <row r="246" spans="1:22" x14ac:dyDescent="0.3">
      <c r="A246" s="6">
        <v>245</v>
      </c>
      <c r="B246" s="1" t="s">
        <v>21</v>
      </c>
      <c r="C246" s="1" t="s">
        <v>520</v>
      </c>
      <c r="D246" s="1" t="s">
        <v>525</v>
      </c>
      <c r="E246" s="1">
        <v>9700018420</v>
      </c>
      <c r="F246" s="8" t="s">
        <v>9</v>
      </c>
      <c r="G246" s="1" t="s">
        <v>393</v>
      </c>
      <c r="H246" s="1" t="s">
        <v>25</v>
      </c>
      <c r="I246" s="11">
        <v>46223</v>
      </c>
      <c r="J246" s="11">
        <v>46226</v>
      </c>
      <c r="K246" s="11">
        <v>46234</v>
      </c>
      <c r="L246" s="11">
        <v>46237</v>
      </c>
      <c r="M246" s="1" t="s">
        <v>26</v>
      </c>
      <c r="N246" s="6">
        <v>14</v>
      </c>
      <c r="O246" s="6">
        <v>14</v>
      </c>
      <c r="P246" s="12">
        <f t="shared" si="87"/>
        <v>46236</v>
      </c>
      <c r="Q246" s="12">
        <f t="shared" si="87"/>
        <v>46239</v>
      </c>
      <c r="R246" s="24">
        <f t="shared" si="88"/>
        <v>-10</v>
      </c>
      <c r="S246" s="25">
        <f t="shared" si="86"/>
        <v>-2</v>
      </c>
      <c r="T246" s="23" t="str">
        <f t="shared" si="82"/>
        <v>No</v>
      </c>
      <c r="U246" s="23"/>
      <c r="V246" s="1" t="s">
        <v>522</v>
      </c>
    </row>
    <row r="247" spans="1:22" x14ac:dyDescent="0.3">
      <c r="A247" s="6">
        <v>246</v>
      </c>
      <c r="B247" s="1" t="s">
        <v>21</v>
      </c>
      <c r="C247" s="1" t="s">
        <v>520</v>
      </c>
      <c r="D247" s="1" t="s">
        <v>526</v>
      </c>
      <c r="E247" s="1">
        <v>9700018420</v>
      </c>
      <c r="F247" s="8" t="s">
        <v>9</v>
      </c>
      <c r="G247" s="1" t="s">
        <v>393</v>
      </c>
      <c r="H247" s="1" t="s">
        <v>25</v>
      </c>
      <c r="I247" s="11">
        <v>46223</v>
      </c>
      <c r="J247" s="11">
        <v>46226</v>
      </c>
      <c r="K247" s="11">
        <v>46227</v>
      </c>
      <c r="L247" s="11">
        <v>46234</v>
      </c>
      <c r="M247" s="1" t="s">
        <v>26</v>
      </c>
      <c r="N247" s="6">
        <v>14</v>
      </c>
      <c r="O247" s="6">
        <v>14</v>
      </c>
      <c r="P247" s="12">
        <f t="shared" si="87"/>
        <v>46236</v>
      </c>
      <c r="Q247" s="12">
        <f t="shared" si="87"/>
        <v>46239</v>
      </c>
      <c r="R247" s="24">
        <f t="shared" si="88"/>
        <v>-10</v>
      </c>
      <c r="S247" s="25">
        <f t="shared" si="86"/>
        <v>-5</v>
      </c>
      <c r="T247" s="23" t="str">
        <f t="shared" si="82"/>
        <v>No</v>
      </c>
      <c r="U247" s="23"/>
      <c r="V247" s="1" t="s">
        <v>522</v>
      </c>
    </row>
    <row r="248" spans="1:22" x14ac:dyDescent="0.3">
      <c r="A248" s="6">
        <v>247</v>
      </c>
      <c r="B248" s="1" t="s">
        <v>21</v>
      </c>
      <c r="C248" s="1" t="s">
        <v>520</v>
      </c>
      <c r="D248" s="1" t="s">
        <v>527</v>
      </c>
      <c r="E248" s="1">
        <v>9700018420</v>
      </c>
      <c r="F248" s="8" t="s">
        <v>9</v>
      </c>
      <c r="G248" s="1" t="s">
        <v>371</v>
      </c>
      <c r="H248" s="1" t="s">
        <v>25</v>
      </c>
      <c r="I248" s="11">
        <v>46223</v>
      </c>
      <c r="J248" s="11">
        <v>46225</v>
      </c>
      <c r="K248" s="11">
        <v>46226</v>
      </c>
      <c r="L248" s="11">
        <v>46226</v>
      </c>
      <c r="M248" s="1" t="s">
        <v>26</v>
      </c>
      <c r="N248" s="6">
        <v>14</v>
      </c>
      <c r="O248" s="6">
        <v>14</v>
      </c>
      <c r="P248" s="12">
        <f t="shared" si="87"/>
        <v>46236</v>
      </c>
      <c r="Q248" s="12">
        <f t="shared" si="87"/>
        <v>46238</v>
      </c>
      <c r="R248" s="24">
        <f t="shared" si="88"/>
        <v>-11</v>
      </c>
      <c r="S248" s="25">
        <f t="shared" si="86"/>
        <v>-12</v>
      </c>
      <c r="T248" s="23" t="str">
        <f t="shared" si="82"/>
        <v>No</v>
      </c>
      <c r="U248" s="23"/>
      <c r="V248" s="1" t="s">
        <v>522</v>
      </c>
    </row>
    <row r="249" spans="1:22" x14ac:dyDescent="0.3">
      <c r="A249" s="6">
        <v>248</v>
      </c>
      <c r="B249" s="1" t="s">
        <v>21</v>
      </c>
      <c r="C249" s="1" t="s">
        <v>520</v>
      </c>
      <c r="D249" s="1" t="s">
        <v>528</v>
      </c>
      <c r="E249" s="1">
        <v>9700018420</v>
      </c>
      <c r="F249" s="8" t="s">
        <v>9</v>
      </c>
      <c r="G249" s="1" t="s">
        <v>371</v>
      </c>
      <c r="H249" s="1" t="s">
        <v>25</v>
      </c>
      <c r="I249" s="11">
        <v>46223</v>
      </c>
      <c r="J249" s="11">
        <v>46225</v>
      </c>
      <c r="K249" s="11">
        <v>46226</v>
      </c>
      <c r="L249" s="11">
        <v>46227</v>
      </c>
      <c r="M249" s="1" t="s">
        <v>26</v>
      </c>
      <c r="N249" s="6">
        <v>14</v>
      </c>
      <c r="O249" s="6">
        <v>14</v>
      </c>
      <c r="P249" s="12">
        <f t="shared" si="87"/>
        <v>46236</v>
      </c>
      <c r="Q249" s="12">
        <f t="shared" si="87"/>
        <v>46238</v>
      </c>
      <c r="R249" s="24">
        <f t="shared" si="88"/>
        <v>-11</v>
      </c>
      <c r="S249" s="25">
        <f t="shared" si="86"/>
        <v>-11</v>
      </c>
      <c r="T249" s="23" t="str">
        <f t="shared" si="82"/>
        <v>No</v>
      </c>
      <c r="U249" s="23"/>
      <c r="V249" s="1" t="s">
        <v>522</v>
      </c>
    </row>
    <row r="250" spans="1:22" x14ac:dyDescent="0.3">
      <c r="A250" s="6">
        <v>249</v>
      </c>
      <c r="B250" s="1" t="s">
        <v>21</v>
      </c>
      <c r="C250" s="1" t="s">
        <v>520</v>
      </c>
      <c r="D250" s="1" t="s">
        <v>529</v>
      </c>
      <c r="E250" s="1">
        <v>9700018420</v>
      </c>
      <c r="F250" s="8" t="s">
        <v>9</v>
      </c>
      <c r="G250" s="1" t="s">
        <v>393</v>
      </c>
      <c r="H250" s="1" t="s">
        <v>25</v>
      </c>
      <c r="I250" s="11">
        <v>46223</v>
      </c>
      <c r="J250" s="11">
        <v>46226</v>
      </c>
      <c r="K250" s="11">
        <v>46237</v>
      </c>
      <c r="L250" s="11">
        <v>46238</v>
      </c>
      <c r="M250" s="1" t="s">
        <v>26</v>
      </c>
      <c r="N250" s="6">
        <v>14</v>
      </c>
      <c r="O250" s="6">
        <v>14</v>
      </c>
      <c r="P250" s="12">
        <f t="shared" si="87"/>
        <v>46236</v>
      </c>
      <c r="Q250" s="12">
        <f t="shared" si="87"/>
        <v>46239</v>
      </c>
      <c r="R250" s="24">
        <f t="shared" si="88"/>
        <v>-10</v>
      </c>
      <c r="S250" s="25">
        <f t="shared" si="86"/>
        <v>-1</v>
      </c>
      <c r="T250" s="23" t="str">
        <f t="shared" si="82"/>
        <v>No</v>
      </c>
      <c r="U250" s="23"/>
      <c r="V250" s="1" t="s">
        <v>522</v>
      </c>
    </row>
    <row r="251" spans="1:22" x14ac:dyDescent="0.3">
      <c r="A251" s="6">
        <v>250</v>
      </c>
      <c r="B251" s="1" t="s">
        <v>21</v>
      </c>
      <c r="C251" s="1" t="s">
        <v>520</v>
      </c>
      <c r="D251" s="1" t="s">
        <v>530</v>
      </c>
      <c r="E251" s="1">
        <v>9700018420</v>
      </c>
      <c r="F251" s="8" t="s">
        <v>9</v>
      </c>
      <c r="G251" s="1" t="s">
        <v>377</v>
      </c>
      <c r="H251" s="1" t="s">
        <v>25</v>
      </c>
      <c r="I251" s="11">
        <v>46223</v>
      </c>
      <c r="J251" s="11">
        <v>46225</v>
      </c>
      <c r="K251" s="11">
        <v>46231</v>
      </c>
      <c r="L251" s="11">
        <v>46232</v>
      </c>
      <c r="M251" s="1" t="s">
        <v>26</v>
      </c>
      <c r="N251" s="6">
        <v>14</v>
      </c>
      <c r="O251" s="6">
        <v>14</v>
      </c>
      <c r="P251" s="12">
        <f t="shared" si="87"/>
        <v>46236</v>
      </c>
      <c r="Q251" s="12">
        <f t="shared" si="87"/>
        <v>46238</v>
      </c>
      <c r="R251" s="24">
        <f t="shared" si="88"/>
        <v>-11</v>
      </c>
      <c r="S251" s="25">
        <f t="shared" si="86"/>
        <v>-6</v>
      </c>
      <c r="T251" s="23" t="str">
        <f t="shared" si="82"/>
        <v>No</v>
      </c>
      <c r="U251" s="23"/>
      <c r="V251" s="1" t="s">
        <v>522</v>
      </c>
    </row>
    <row r="252" spans="1:22" x14ac:dyDescent="0.3">
      <c r="A252" s="6">
        <v>251</v>
      </c>
      <c r="B252" s="1" t="s">
        <v>21</v>
      </c>
      <c r="C252" s="1" t="s">
        <v>520</v>
      </c>
      <c r="D252" s="1" t="s">
        <v>531</v>
      </c>
      <c r="E252" s="1">
        <v>9700018420</v>
      </c>
      <c r="F252" s="8" t="s">
        <v>9</v>
      </c>
      <c r="G252" s="1" t="s">
        <v>532</v>
      </c>
      <c r="H252" s="1" t="s">
        <v>25</v>
      </c>
      <c r="I252" s="11">
        <v>46223</v>
      </c>
      <c r="J252" s="11">
        <v>46225</v>
      </c>
      <c r="K252" s="11">
        <v>46225</v>
      </c>
      <c r="L252" s="11">
        <v>46225</v>
      </c>
      <c r="M252" s="1" t="s">
        <v>26</v>
      </c>
      <c r="N252" s="6">
        <v>14</v>
      </c>
      <c r="O252" s="6">
        <v>14</v>
      </c>
      <c r="P252" s="12">
        <f t="shared" si="87"/>
        <v>46236</v>
      </c>
      <c r="Q252" s="12">
        <f t="shared" si="87"/>
        <v>46238</v>
      </c>
      <c r="R252" s="24">
        <f t="shared" si="88"/>
        <v>-11</v>
      </c>
      <c r="S252" s="25">
        <f t="shared" si="86"/>
        <v>-13</v>
      </c>
      <c r="T252" s="23" t="str">
        <f t="shared" si="82"/>
        <v>No</v>
      </c>
      <c r="U252" s="23"/>
      <c r="V252" s="1" t="s">
        <v>522</v>
      </c>
    </row>
    <row r="253" spans="1:22" x14ac:dyDescent="0.3">
      <c r="A253" s="6">
        <v>252</v>
      </c>
      <c r="B253" s="1" t="s">
        <v>21</v>
      </c>
      <c r="C253" s="1" t="s">
        <v>520</v>
      </c>
      <c r="D253" s="1" t="s">
        <v>533</v>
      </c>
      <c r="E253" s="1">
        <v>9700018420</v>
      </c>
      <c r="F253" s="8" t="s">
        <v>9</v>
      </c>
      <c r="G253" s="1" t="s">
        <v>377</v>
      </c>
      <c r="H253" s="1" t="s">
        <v>25</v>
      </c>
      <c r="I253" s="11">
        <v>46223</v>
      </c>
      <c r="J253" s="11">
        <v>46226</v>
      </c>
      <c r="K253" s="11">
        <v>46230</v>
      </c>
      <c r="L253" s="11">
        <v>46231</v>
      </c>
      <c r="M253" s="1" t="s">
        <v>26</v>
      </c>
      <c r="N253" s="6">
        <v>14</v>
      </c>
      <c r="O253" s="6">
        <v>14</v>
      </c>
      <c r="P253" s="12">
        <f t="shared" si="87"/>
        <v>46236</v>
      </c>
      <c r="Q253" s="12">
        <f t="shared" si="87"/>
        <v>46239</v>
      </c>
      <c r="R253" s="24">
        <f t="shared" si="88"/>
        <v>-10</v>
      </c>
      <c r="S253" s="25">
        <f t="shared" si="86"/>
        <v>-8</v>
      </c>
      <c r="T253" s="23" t="str">
        <f t="shared" si="82"/>
        <v>No</v>
      </c>
      <c r="U253" s="23"/>
      <c r="V253" s="1" t="s">
        <v>522</v>
      </c>
    </row>
    <row r="254" spans="1:22" x14ac:dyDescent="0.3">
      <c r="A254" s="6">
        <v>253</v>
      </c>
      <c r="B254" s="1" t="s">
        <v>21</v>
      </c>
      <c r="C254" s="1" t="s">
        <v>520</v>
      </c>
      <c r="D254" s="1" t="s">
        <v>534</v>
      </c>
      <c r="E254" s="1">
        <v>9700018420</v>
      </c>
      <c r="F254" s="8" t="s">
        <v>9</v>
      </c>
      <c r="G254" s="1" t="s">
        <v>535</v>
      </c>
      <c r="H254" s="1" t="s">
        <v>25</v>
      </c>
      <c r="I254" s="11">
        <v>46223</v>
      </c>
      <c r="J254" s="11">
        <v>46225</v>
      </c>
      <c r="K254" s="11">
        <v>46230</v>
      </c>
      <c r="L254" s="11">
        <v>46231</v>
      </c>
      <c r="M254" s="1" t="s">
        <v>26</v>
      </c>
      <c r="N254" s="6">
        <v>14</v>
      </c>
      <c r="O254" s="6">
        <v>14</v>
      </c>
      <c r="P254" s="12">
        <f t="shared" si="87"/>
        <v>46236</v>
      </c>
      <c r="Q254" s="12">
        <f t="shared" si="87"/>
        <v>46238</v>
      </c>
      <c r="R254" s="24">
        <f t="shared" si="88"/>
        <v>-11</v>
      </c>
      <c r="S254" s="25">
        <f t="shared" si="86"/>
        <v>-7</v>
      </c>
      <c r="T254" s="23" t="str">
        <f t="shared" si="82"/>
        <v>No</v>
      </c>
      <c r="U254" s="23"/>
      <c r="V254" s="1" t="s">
        <v>522</v>
      </c>
    </row>
    <row r="255" spans="1:22" x14ac:dyDescent="0.3">
      <c r="A255" s="6">
        <v>254</v>
      </c>
      <c r="B255" s="1" t="s">
        <v>21</v>
      </c>
      <c r="C255" s="1" t="s">
        <v>520</v>
      </c>
      <c r="D255" s="1" t="s">
        <v>536</v>
      </c>
      <c r="E255" s="1">
        <v>9700018420</v>
      </c>
      <c r="F255" s="8" t="s">
        <v>9</v>
      </c>
      <c r="G255" s="1" t="s">
        <v>377</v>
      </c>
      <c r="H255" s="1" t="s">
        <v>25</v>
      </c>
      <c r="I255" s="11">
        <v>46223</v>
      </c>
      <c r="J255" s="11">
        <v>46226</v>
      </c>
      <c r="K255" s="11">
        <v>46234</v>
      </c>
      <c r="L255" s="11">
        <v>46235</v>
      </c>
      <c r="M255" s="1" t="s">
        <v>26</v>
      </c>
      <c r="N255" s="6">
        <v>14</v>
      </c>
      <c r="O255" s="6">
        <v>14</v>
      </c>
      <c r="P255" s="12">
        <f t="shared" si="87"/>
        <v>46236</v>
      </c>
      <c r="Q255" s="12">
        <f t="shared" si="87"/>
        <v>46239</v>
      </c>
      <c r="R255" s="24">
        <f t="shared" si="88"/>
        <v>-10</v>
      </c>
      <c r="S255" s="25">
        <f t="shared" si="86"/>
        <v>-4</v>
      </c>
      <c r="T255" s="23" t="str">
        <f t="shared" si="82"/>
        <v>No</v>
      </c>
      <c r="U255" s="23"/>
      <c r="V255" s="1" t="s">
        <v>522</v>
      </c>
    </row>
    <row r="256" spans="1:22" ht="43.2" x14ac:dyDescent="0.3">
      <c r="A256" s="6">
        <v>255</v>
      </c>
      <c r="B256" s="1" t="s">
        <v>152</v>
      </c>
      <c r="C256" s="1" t="s">
        <v>537</v>
      </c>
      <c r="D256" s="1" t="s">
        <v>538</v>
      </c>
      <c r="E256" s="30" t="s">
        <v>539</v>
      </c>
      <c r="F256" s="8" t="s">
        <v>9</v>
      </c>
      <c r="G256" s="1" t="s">
        <v>155</v>
      </c>
      <c r="H256" s="1" t="s">
        <v>25</v>
      </c>
      <c r="I256" s="11">
        <v>46246</v>
      </c>
      <c r="J256" s="11">
        <v>46252</v>
      </c>
      <c r="K256" s="11">
        <v>46258</v>
      </c>
      <c r="L256" s="11">
        <v>46260</v>
      </c>
      <c r="M256" s="1" t="s">
        <v>26</v>
      </c>
      <c r="N256" s="6">
        <v>7</v>
      </c>
      <c r="O256" s="6">
        <v>7</v>
      </c>
      <c r="P256" s="12">
        <f t="shared" si="87"/>
        <v>46252</v>
      </c>
      <c r="Q256" s="12">
        <f t="shared" si="87"/>
        <v>46258</v>
      </c>
      <c r="R256" s="15">
        <f t="shared" si="88"/>
        <v>0</v>
      </c>
      <c r="S256" s="21">
        <f t="shared" ref="S256:S264" si="89">L256-Q256</f>
        <v>2</v>
      </c>
      <c r="T256" s="6" t="str">
        <f t="shared" si="82"/>
        <v>No</v>
      </c>
      <c r="U256" s="6"/>
      <c r="V256" s="1" t="s">
        <v>540</v>
      </c>
    </row>
    <row r="257" spans="1:22" ht="43.2" x14ac:dyDescent="0.3">
      <c r="A257" s="6">
        <v>256</v>
      </c>
      <c r="B257" s="1" t="s">
        <v>152</v>
      </c>
      <c r="C257" s="1" t="s">
        <v>537</v>
      </c>
      <c r="D257" s="1" t="s">
        <v>541</v>
      </c>
      <c r="E257" s="30" t="s">
        <v>539</v>
      </c>
      <c r="F257" s="8" t="s">
        <v>9</v>
      </c>
      <c r="G257" s="1" t="s">
        <v>155</v>
      </c>
      <c r="H257" s="1" t="s">
        <v>25</v>
      </c>
      <c r="I257" s="11">
        <v>46246</v>
      </c>
      <c r="J257" s="11">
        <v>46252</v>
      </c>
      <c r="K257" s="11">
        <v>46254</v>
      </c>
      <c r="L257" s="11">
        <v>46254</v>
      </c>
      <c r="M257" s="1" t="s">
        <v>26</v>
      </c>
      <c r="N257" s="6">
        <v>7</v>
      </c>
      <c r="O257" s="6">
        <v>7</v>
      </c>
      <c r="P257" s="12">
        <f t="shared" si="87"/>
        <v>46252</v>
      </c>
      <c r="Q257" s="12">
        <f t="shared" si="87"/>
        <v>46258</v>
      </c>
      <c r="R257" s="15">
        <f t="shared" si="88"/>
        <v>0</v>
      </c>
      <c r="S257" s="21">
        <f t="shared" si="89"/>
        <v>-4</v>
      </c>
      <c r="T257" s="6" t="str">
        <f t="shared" si="82"/>
        <v>No</v>
      </c>
      <c r="U257" s="6"/>
      <c r="V257" s="1" t="s">
        <v>542</v>
      </c>
    </row>
    <row r="258" spans="1:22" x14ac:dyDescent="0.3">
      <c r="A258" s="6">
        <v>257</v>
      </c>
      <c r="B258" s="1" t="s">
        <v>62</v>
      </c>
      <c r="C258" s="1" t="s">
        <v>543</v>
      </c>
      <c r="D258" s="1" t="s">
        <v>544</v>
      </c>
      <c r="E258" s="1">
        <v>1510003241</v>
      </c>
      <c r="F258" s="8" t="s">
        <v>9</v>
      </c>
      <c r="G258" s="1" t="s">
        <v>545</v>
      </c>
      <c r="H258" s="1" t="s">
        <v>25</v>
      </c>
      <c r="I258" s="11">
        <v>46231</v>
      </c>
      <c r="J258" s="11">
        <v>46239</v>
      </c>
      <c r="K258" s="11">
        <v>46241</v>
      </c>
      <c r="L258" s="11">
        <v>46242</v>
      </c>
      <c r="M258" s="1" t="s">
        <v>32</v>
      </c>
      <c r="N258" s="6">
        <v>20</v>
      </c>
      <c r="O258" s="6">
        <v>15</v>
      </c>
      <c r="P258" s="12">
        <f t="shared" si="87"/>
        <v>46250</v>
      </c>
      <c r="Q258" s="11">
        <f>J258+O258-1</f>
        <v>46253</v>
      </c>
      <c r="R258" s="24">
        <f>J258-P258</f>
        <v>-11</v>
      </c>
      <c r="S258" s="25">
        <f t="shared" si="89"/>
        <v>-11</v>
      </c>
      <c r="T258" s="23" t="str">
        <f t="shared" si="82"/>
        <v>No</v>
      </c>
      <c r="U258" s="23"/>
      <c r="V258" s="1" t="s">
        <v>546</v>
      </c>
    </row>
    <row r="259" spans="1:22" x14ac:dyDescent="0.3">
      <c r="A259" s="6">
        <v>258</v>
      </c>
      <c r="B259" s="1" t="s">
        <v>62</v>
      </c>
      <c r="C259" s="1" t="s">
        <v>547</v>
      </c>
      <c r="D259" s="1" t="s">
        <v>548</v>
      </c>
      <c r="E259" s="1">
        <v>1510002641</v>
      </c>
      <c r="F259" s="8" t="s">
        <v>9</v>
      </c>
      <c r="G259" s="1" t="s">
        <v>65</v>
      </c>
      <c r="H259" s="1" t="s">
        <v>66</v>
      </c>
      <c r="I259" s="11">
        <v>46256</v>
      </c>
      <c r="J259" s="11">
        <v>46264</v>
      </c>
      <c r="K259" s="11">
        <v>46272</v>
      </c>
      <c r="L259" s="11">
        <v>46273</v>
      </c>
      <c r="M259" s="1" t="s">
        <v>32</v>
      </c>
      <c r="N259" s="6">
        <v>20</v>
      </c>
      <c r="O259" s="6">
        <v>15</v>
      </c>
      <c r="P259" s="12">
        <f t="shared" si="87"/>
        <v>46275</v>
      </c>
      <c r="Q259" s="11">
        <f>J259+O259-1</f>
        <v>46278</v>
      </c>
      <c r="R259" s="24">
        <f>J259-P259</f>
        <v>-11</v>
      </c>
      <c r="S259" s="25">
        <f t="shared" si="89"/>
        <v>-5</v>
      </c>
      <c r="T259" s="23" t="str">
        <f t="shared" si="82"/>
        <v>No</v>
      </c>
      <c r="U259" s="23"/>
      <c r="V259" s="1" t="s">
        <v>549</v>
      </c>
    </row>
    <row r="260" spans="1:22" x14ac:dyDescent="0.3">
      <c r="A260" s="6">
        <v>259</v>
      </c>
      <c r="B260" s="1" t="s">
        <v>62</v>
      </c>
      <c r="C260" s="1" t="s">
        <v>547</v>
      </c>
      <c r="D260" s="1" t="s">
        <v>550</v>
      </c>
      <c r="E260" s="1">
        <v>1510002641</v>
      </c>
      <c r="F260" s="8" t="s">
        <v>9</v>
      </c>
      <c r="G260" s="1" t="s">
        <v>65</v>
      </c>
      <c r="H260" s="1" t="s">
        <v>66</v>
      </c>
      <c r="I260" s="11">
        <v>46256</v>
      </c>
      <c r="J260" s="11">
        <v>46265</v>
      </c>
      <c r="K260" s="11">
        <v>46294</v>
      </c>
      <c r="L260" s="11">
        <v>46295</v>
      </c>
      <c r="M260" s="1" t="s">
        <v>32</v>
      </c>
      <c r="N260" s="6">
        <v>10</v>
      </c>
      <c r="O260" s="6">
        <v>25</v>
      </c>
      <c r="P260" s="12">
        <f>I260+N260-1</f>
        <v>46265</v>
      </c>
      <c r="Q260" s="11">
        <f>J260+O260-1</f>
        <v>46289</v>
      </c>
      <c r="R260" s="24">
        <f>J260-P260</f>
        <v>0</v>
      </c>
      <c r="S260" s="25">
        <f t="shared" si="89"/>
        <v>6</v>
      </c>
      <c r="T260" s="23" t="str">
        <f t="shared" si="82"/>
        <v>No</v>
      </c>
      <c r="U260" s="23"/>
      <c r="V260" s="1" t="s">
        <v>549</v>
      </c>
    </row>
    <row r="261" spans="1:22" x14ac:dyDescent="0.3">
      <c r="A261" s="6">
        <v>260</v>
      </c>
      <c r="B261" s="1" t="s">
        <v>62</v>
      </c>
      <c r="C261" s="1" t="s">
        <v>547</v>
      </c>
      <c r="D261" s="1" t="s">
        <v>551</v>
      </c>
      <c r="E261" s="1">
        <v>1510002641</v>
      </c>
      <c r="F261" s="8" t="s">
        <v>9</v>
      </c>
      <c r="G261" s="1" t="s">
        <v>65</v>
      </c>
      <c r="H261" s="1" t="s">
        <v>66</v>
      </c>
      <c r="I261" s="11">
        <v>46256</v>
      </c>
      <c r="J261" s="11">
        <v>46256</v>
      </c>
      <c r="K261" s="11">
        <v>46267</v>
      </c>
      <c r="L261" s="11">
        <v>46269</v>
      </c>
      <c r="M261" s="1" t="s">
        <v>32</v>
      </c>
      <c r="N261" s="6">
        <v>20</v>
      </c>
      <c r="O261" s="6">
        <v>15</v>
      </c>
      <c r="P261" s="12">
        <f t="shared" si="87"/>
        <v>46275</v>
      </c>
      <c r="Q261" s="11">
        <f>J261+O261-1</f>
        <v>46270</v>
      </c>
      <c r="R261" s="24">
        <f>J261-P261</f>
        <v>-19</v>
      </c>
      <c r="S261" s="25">
        <f t="shared" si="89"/>
        <v>-1</v>
      </c>
      <c r="T261" s="23" t="str">
        <f t="shared" si="82"/>
        <v>No</v>
      </c>
      <c r="U261" s="23"/>
      <c r="V261" s="1" t="s">
        <v>549</v>
      </c>
    </row>
    <row r="262" spans="1:22" x14ac:dyDescent="0.3">
      <c r="A262" s="6">
        <v>261</v>
      </c>
      <c r="B262" s="1" t="s">
        <v>62</v>
      </c>
      <c r="C262" s="1" t="s">
        <v>547</v>
      </c>
      <c r="D262" s="1" t="s">
        <v>552</v>
      </c>
      <c r="E262" s="1">
        <v>1510002641</v>
      </c>
      <c r="F262" s="8" t="s">
        <v>9</v>
      </c>
      <c r="G262" s="1" t="s">
        <v>65</v>
      </c>
      <c r="H262" s="1" t="s">
        <v>66</v>
      </c>
      <c r="I262" s="11">
        <v>46256</v>
      </c>
      <c r="J262" s="11">
        <v>46265</v>
      </c>
      <c r="K262" s="11">
        <v>46272</v>
      </c>
      <c r="L262" s="11">
        <v>46273</v>
      </c>
      <c r="M262" s="1" t="s">
        <v>32</v>
      </c>
      <c r="N262" s="6">
        <v>20</v>
      </c>
      <c r="O262" s="6">
        <v>15</v>
      </c>
      <c r="P262" s="12">
        <f t="shared" si="87"/>
        <v>46275</v>
      </c>
      <c r="Q262" s="11">
        <f>J262+O262-1</f>
        <v>46279</v>
      </c>
      <c r="R262" s="24">
        <f>J262-P262</f>
        <v>-10</v>
      </c>
      <c r="S262" s="25">
        <f t="shared" si="89"/>
        <v>-6</v>
      </c>
      <c r="T262" s="23" t="str">
        <f t="shared" si="82"/>
        <v>No</v>
      </c>
      <c r="U262" s="23"/>
      <c r="V262" s="1" t="s">
        <v>549</v>
      </c>
    </row>
    <row r="263" spans="1:22" x14ac:dyDescent="0.3">
      <c r="A263" s="6">
        <v>262</v>
      </c>
      <c r="B263" s="1" t="s">
        <v>152</v>
      </c>
      <c r="C263" s="1" t="s">
        <v>553</v>
      </c>
      <c r="D263" s="1" t="s">
        <v>554</v>
      </c>
      <c r="E263" s="1">
        <v>1510002494</v>
      </c>
      <c r="F263" s="8" t="s">
        <v>9</v>
      </c>
      <c r="G263" s="1" t="s">
        <v>155</v>
      </c>
      <c r="H263" s="1" t="s">
        <v>25</v>
      </c>
      <c r="I263" s="11">
        <v>46252</v>
      </c>
      <c r="J263" s="11">
        <v>46256</v>
      </c>
      <c r="K263" s="11">
        <v>46260</v>
      </c>
      <c r="L263" s="11">
        <v>46261</v>
      </c>
      <c r="M263" s="1" t="s">
        <v>26</v>
      </c>
      <c r="N263" s="6">
        <v>6</v>
      </c>
      <c r="O263" s="6">
        <v>8</v>
      </c>
      <c r="P263" s="12">
        <f t="shared" si="87"/>
        <v>46257</v>
      </c>
      <c r="Q263" s="12">
        <f t="shared" si="87"/>
        <v>46263</v>
      </c>
      <c r="R263" s="15">
        <f t="shared" si="88"/>
        <v>-1</v>
      </c>
      <c r="S263" s="21">
        <f t="shared" si="89"/>
        <v>-2</v>
      </c>
      <c r="T263" s="23" t="str">
        <f t="shared" si="82"/>
        <v>No</v>
      </c>
      <c r="U263" s="23"/>
      <c r="V263" s="1" t="s">
        <v>555</v>
      </c>
    </row>
    <row r="264" spans="1:22" x14ac:dyDescent="0.3">
      <c r="A264" s="6">
        <v>263</v>
      </c>
      <c r="B264" s="1" t="s">
        <v>152</v>
      </c>
      <c r="C264" s="1" t="s">
        <v>553</v>
      </c>
      <c r="D264" s="1" t="s">
        <v>556</v>
      </c>
      <c r="E264" s="1">
        <v>1510002494</v>
      </c>
      <c r="F264" s="8" t="s">
        <v>9</v>
      </c>
      <c r="G264" s="1" t="s">
        <v>155</v>
      </c>
      <c r="H264" s="1" t="s">
        <v>25</v>
      </c>
      <c r="I264" s="11">
        <v>46252</v>
      </c>
      <c r="J264" s="11">
        <v>46256</v>
      </c>
      <c r="K264" s="11">
        <v>46260</v>
      </c>
      <c r="L264" s="11">
        <v>46261</v>
      </c>
      <c r="M264" s="1" t="s">
        <v>26</v>
      </c>
      <c r="N264" s="6">
        <v>6</v>
      </c>
      <c r="O264" s="6">
        <v>8</v>
      </c>
      <c r="P264" s="12">
        <f t="shared" ref="P264" si="90">I264+N264-1</f>
        <v>46257</v>
      </c>
      <c r="Q264" s="12">
        <f t="shared" ref="Q264" si="91">J264+O264-1</f>
        <v>46263</v>
      </c>
      <c r="R264" s="15">
        <f t="shared" ref="R264" si="92">J264-P264</f>
        <v>-1</v>
      </c>
      <c r="S264" s="21">
        <f t="shared" si="89"/>
        <v>-2</v>
      </c>
      <c r="T264" s="23" t="str">
        <f t="shared" ref="T264" si="93">IF(R264&gt;0,"To Paid","No")</f>
        <v>No</v>
      </c>
      <c r="U264" s="23"/>
      <c r="V264" s="1" t="s">
        <v>555</v>
      </c>
    </row>
    <row r="265" spans="1:22" x14ac:dyDescent="0.3">
      <c r="A265" s="6">
        <v>264</v>
      </c>
      <c r="B265" s="1" t="s">
        <v>28</v>
      </c>
      <c r="C265" s="1" t="s">
        <v>557</v>
      </c>
      <c r="D265" s="1" t="s">
        <v>558</v>
      </c>
      <c r="E265" s="1">
        <v>1510003103</v>
      </c>
      <c r="F265" s="8" t="s">
        <v>9</v>
      </c>
      <c r="G265" s="1" t="s">
        <v>559</v>
      </c>
      <c r="H265" s="1" t="s">
        <v>25</v>
      </c>
      <c r="I265" s="11">
        <v>46256</v>
      </c>
      <c r="J265" s="11">
        <v>46269</v>
      </c>
      <c r="K265" s="11">
        <v>46271</v>
      </c>
      <c r="L265" s="11">
        <v>46272</v>
      </c>
      <c r="M265" s="1" t="s">
        <v>32</v>
      </c>
      <c r="N265" s="6">
        <v>5</v>
      </c>
      <c r="O265" s="6">
        <v>0</v>
      </c>
      <c r="P265" s="12">
        <f t="shared" si="87"/>
        <v>46260</v>
      </c>
      <c r="Q265" s="12">
        <f t="shared" si="87"/>
        <v>46268</v>
      </c>
      <c r="R265" s="24">
        <f t="shared" si="88"/>
        <v>9</v>
      </c>
      <c r="S265" s="25">
        <f t="shared" si="86"/>
        <v>4</v>
      </c>
      <c r="T265" s="23" t="str">
        <f t="shared" si="82"/>
        <v>To Paid</v>
      </c>
      <c r="U265" s="23"/>
      <c r="V265" s="1" t="s">
        <v>560</v>
      </c>
    </row>
    <row r="266" spans="1:22" x14ac:dyDescent="0.3">
      <c r="A266" s="6">
        <v>265</v>
      </c>
      <c r="B266" s="1" t="s">
        <v>28</v>
      </c>
      <c r="C266" s="1" t="s">
        <v>561</v>
      </c>
      <c r="D266" s="1" t="s">
        <v>562</v>
      </c>
      <c r="E266" s="1">
        <v>1510003101</v>
      </c>
      <c r="F266" s="8" t="s">
        <v>9</v>
      </c>
      <c r="G266" s="1" t="s">
        <v>559</v>
      </c>
      <c r="H266" s="1" t="s">
        <v>25</v>
      </c>
      <c r="I266" s="11">
        <v>46247</v>
      </c>
      <c r="J266" s="11">
        <v>46253</v>
      </c>
      <c r="K266" s="11">
        <v>46255</v>
      </c>
      <c r="L266" s="11">
        <v>46256</v>
      </c>
      <c r="M266" s="1" t="s">
        <v>32</v>
      </c>
      <c r="N266" s="6">
        <v>7</v>
      </c>
      <c r="O266" s="6">
        <v>7</v>
      </c>
      <c r="P266" s="12">
        <f t="shared" si="87"/>
        <v>46253</v>
      </c>
      <c r="Q266" s="12">
        <f t="shared" si="87"/>
        <v>46259</v>
      </c>
      <c r="R266" s="24">
        <f t="shared" si="88"/>
        <v>0</v>
      </c>
      <c r="S266" s="25">
        <f t="shared" si="86"/>
        <v>-3</v>
      </c>
      <c r="T266" s="23" t="str">
        <f t="shared" si="82"/>
        <v>No</v>
      </c>
      <c r="U266" s="23"/>
      <c r="V266" s="1" t="s">
        <v>563</v>
      </c>
    </row>
    <row r="267" spans="1:22" x14ac:dyDescent="0.3">
      <c r="A267" s="6">
        <v>266</v>
      </c>
      <c r="B267" s="1" t="s">
        <v>28</v>
      </c>
      <c r="C267" s="1" t="s">
        <v>564</v>
      </c>
      <c r="D267" s="1" t="s">
        <v>565</v>
      </c>
      <c r="E267" s="1">
        <v>1510003104</v>
      </c>
      <c r="F267" s="8" t="s">
        <v>9</v>
      </c>
      <c r="G267" s="29" t="s">
        <v>566</v>
      </c>
      <c r="H267" s="1" t="s">
        <v>25</v>
      </c>
      <c r="I267" s="11">
        <v>46247</v>
      </c>
      <c r="J267" s="11">
        <v>46254</v>
      </c>
      <c r="K267" s="11">
        <v>46255</v>
      </c>
      <c r="L267" s="11">
        <v>46256</v>
      </c>
      <c r="M267" s="1" t="s">
        <v>32</v>
      </c>
      <c r="N267" s="6">
        <v>9</v>
      </c>
      <c r="O267" s="6">
        <v>5</v>
      </c>
      <c r="P267" s="12">
        <f t="shared" si="87"/>
        <v>46255</v>
      </c>
      <c r="Q267" s="12">
        <f t="shared" si="87"/>
        <v>46258</v>
      </c>
      <c r="R267" s="24">
        <f t="shared" si="88"/>
        <v>-1</v>
      </c>
      <c r="S267" s="25">
        <f t="shared" si="86"/>
        <v>-2</v>
      </c>
      <c r="T267" s="23" t="str">
        <f t="shared" si="82"/>
        <v>No</v>
      </c>
      <c r="U267" s="23"/>
      <c r="V267" s="1" t="s">
        <v>563</v>
      </c>
    </row>
    <row r="268" spans="1:22" x14ac:dyDescent="0.3">
      <c r="A268" s="6">
        <v>267</v>
      </c>
      <c r="B268" s="1" t="s">
        <v>21</v>
      </c>
      <c r="C268" s="1" t="s">
        <v>567</v>
      </c>
      <c r="D268" s="1" t="s">
        <v>568</v>
      </c>
      <c r="E268" s="1">
        <v>9700018499</v>
      </c>
      <c r="F268" s="8" t="s">
        <v>9</v>
      </c>
      <c r="G268" s="1" t="s">
        <v>569</v>
      </c>
      <c r="H268" s="1" t="s">
        <v>25</v>
      </c>
      <c r="I268" s="11">
        <v>46241</v>
      </c>
      <c r="J268" s="11">
        <v>46248</v>
      </c>
      <c r="K268" s="11">
        <v>46251</v>
      </c>
      <c r="L268" s="11">
        <v>46252</v>
      </c>
      <c r="M268" s="1" t="s">
        <v>26</v>
      </c>
      <c r="N268" s="6">
        <v>14</v>
      </c>
      <c r="O268" s="6">
        <v>14</v>
      </c>
      <c r="P268" s="12">
        <f t="shared" si="87"/>
        <v>46254</v>
      </c>
      <c r="Q268" s="12">
        <f t="shared" si="87"/>
        <v>46261</v>
      </c>
      <c r="R268" s="24">
        <f t="shared" si="88"/>
        <v>-6</v>
      </c>
      <c r="S268" s="25">
        <f t="shared" si="86"/>
        <v>-9</v>
      </c>
      <c r="T268" s="23" t="str">
        <f t="shared" si="82"/>
        <v>No</v>
      </c>
      <c r="U268" s="23"/>
      <c r="V268" s="1" t="s">
        <v>570</v>
      </c>
    </row>
    <row r="269" spans="1:22" x14ac:dyDescent="0.3">
      <c r="A269" s="6">
        <v>268</v>
      </c>
      <c r="B269" s="1" t="s">
        <v>21</v>
      </c>
      <c r="C269" s="1" t="s">
        <v>567</v>
      </c>
      <c r="D269" s="1" t="s">
        <v>571</v>
      </c>
      <c r="E269" s="1">
        <v>9700018499</v>
      </c>
      <c r="F269" s="8" t="s">
        <v>9</v>
      </c>
      <c r="G269" s="1" t="s">
        <v>572</v>
      </c>
      <c r="H269" s="1" t="s">
        <v>25</v>
      </c>
      <c r="I269" s="11">
        <v>46241</v>
      </c>
      <c r="J269" s="11">
        <v>46251</v>
      </c>
      <c r="K269" s="11">
        <v>46252</v>
      </c>
      <c r="L269" s="11">
        <v>46252</v>
      </c>
      <c r="M269" s="1" t="s">
        <v>26</v>
      </c>
      <c r="N269" s="6">
        <v>14</v>
      </c>
      <c r="O269" s="6">
        <v>14</v>
      </c>
      <c r="P269" s="12">
        <f t="shared" si="87"/>
        <v>46254</v>
      </c>
      <c r="Q269" s="12">
        <f t="shared" si="87"/>
        <v>46264</v>
      </c>
      <c r="R269" s="24">
        <f t="shared" si="88"/>
        <v>-3</v>
      </c>
      <c r="S269" s="25">
        <f t="shared" si="86"/>
        <v>-12</v>
      </c>
      <c r="T269" s="23" t="str">
        <f t="shared" si="82"/>
        <v>No</v>
      </c>
      <c r="U269" s="23"/>
      <c r="V269" s="1" t="s">
        <v>570</v>
      </c>
    </row>
    <row r="270" spans="1:22" x14ac:dyDescent="0.3">
      <c r="A270" s="6">
        <v>269</v>
      </c>
      <c r="B270" s="1" t="s">
        <v>21</v>
      </c>
      <c r="C270" s="1" t="s">
        <v>567</v>
      </c>
      <c r="D270" s="1" t="s">
        <v>573</v>
      </c>
      <c r="E270" s="1">
        <v>9700018499</v>
      </c>
      <c r="F270" s="8" t="s">
        <v>9</v>
      </c>
      <c r="G270" s="1" t="s">
        <v>574</v>
      </c>
      <c r="H270" s="1" t="s">
        <v>25</v>
      </c>
      <c r="I270" s="11">
        <v>46241</v>
      </c>
      <c r="J270" s="11">
        <v>46251</v>
      </c>
      <c r="K270" s="11">
        <v>46251</v>
      </c>
      <c r="L270" s="11">
        <v>46252</v>
      </c>
      <c r="M270" s="1" t="s">
        <v>26</v>
      </c>
      <c r="N270" s="6">
        <v>14</v>
      </c>
      <c r="O270" s="6">
        <v>14</v>
      </c>
      <c r="P270" s="12">
        <f t="shared" si="87"/>
        <v>46254</v>
      </c>
      <c r="Q270" s="12">
        <f t="shared" si="87"/>
        <v>46264</v>
      </c>
      <c r="R270" s="24">
        <f t="shared" si="88"/>
        <v>-3</v>
      </c>
      <c r="S270" s="25">
        <f t="shared" si="86"/>
        <v>-12</v>
      </c>
      <c r="T270" s="23" t="str">
        <f t="shared" si="82"/>
        <v>No</v>
      </c>
      <c r="U270" s="23"/>
      <c r="V270" s="1" t="s">
        <v>570</v>
      </c>
    </row>
    <row r="271" spans="1:22" x14ac:dyDescent="0.3">
      <c r="A271" s="6">
        <v>270</v>
      </c>
      <c r="B271" s="1" t="s">
        <v>21</v>
      </c>
      <c r="C271" s="1" t="s">
        <v>567</v>
      </c>
      <c r="D271" s="1" t="s">
        <v>575</v>
      </c>
      <c r="E271" s="1">
        <v>9700018499</v>
      </c>
      <c r="F271" s="8" t="s">
        <v>9</v>
      </c>
      <c r="G271" s="1" t="s">
        <v>574</v>
      </c>
      <c r="H271" s="1" t="s">
        <v>25</v>
      </c>
      <c r="I271" s="11">
        <v>46241</v>
      </c>
      <c r="J271" s="11">
        <v>46253</v>
      </c>
      <c r="K271" s="11">
        <v>46254</v>
      </c>
      <c r="L271" s="11">
        <v>46255</v>
      </c>
      <c r="M271" s="1" t="s">
        <v>26</v>
      </c>
      <c r="N271" s="6">
        <v>14</v>
      </c>
      <c r="O271" s="6">
        <v>14</v>
      </c>
      <c r="P271" s="12">
        <f t="shared" si="87"/>
        <v>46254</v>
      </c>
      <c r="Q271" s="12">
        <f t="shared" si="87"/>
        <v>46266</v>
      </c>
      <c r="R271" s="24">
        <f t="shared" si="88"/>
        <v>-1</v>
      </c>
      <c r="S271" s="25">
        <f t="shared" si="86"/>
        <v>-11</v>
      </c>
      <c r="T271" s="23" t="str">
        <f t="shared" si="82"/>
        <v>No</v>
      </c>
      <c r="U271" s="23"/>
      <c r="V271" s="1" t="s">
        <v>570</v>
      </c>
    </row>
    <row r="272" spans="1:22" x14ac:dyDescent="0.3">
      <c r="A272" s="6">
        <v>271</v>
      </c>
      <c r="B272" s="1" t="s">
        <v>21</v>
      </c>
      <c r="C272" s="1" t="s">
        <v>567</v>
      </c>
      <c r="D272" s="1" t="s">
        <v>576</v>
      </c>
      <c r="E272" s="1">
        <v>9700018499</v>
      </c>
      <c r="F272" s="8" t="s">
        <v>9</v>
      </c>
      <c r="G272" s="1" t="s">
        <v>577</v>
      </c>
      <c r="H272" s="1" t="s">
        <v>25</v>
      </c>
      <c r="I272" s="11">
        <v>46241</v>
      </c>
      <c r="J272" s="11">
        <v>46251</v>
      </c>
      <c r="K272" s="11">
        <v>46254</v>
      </c>
      <c r="L272" s="11">
        <v>46255</v>
      </c>
      <c r="M272" s="1" t="s">
        <v>26</v>
      </c>
      <c r="N272" s="6">
        <v>14</v>
      </c>
      <c r="O272" s="6">
        <v>14</v>
      </c>
      <c r="P272" s="12">
        <f t="shared" si="87"/>
        <v>46254</v>
      </c>
      <c r="Q272" s="12">
        <f t="shared" si="87"/>
        <v>46264</v>
      </c>
      <c r="R272" s="24">
        <f t="shared" si="88"/>
        <v>-3</v>
      </c>
      <c r="S272" s="25">
        <f t="shared" si="86"/>
        <v>-9</v>
      </c>
      <c r="T272" s="23" t="str">
        <f t="shared" si="82"/>
        <v>No</v>
      </c>
      <c r="U272" s="23"/>
      <c r="V272" s="1" t="s">
        <v>570</v>
      </c>
    </row>
    <row r="273" spans="1:22" x14ac:dyDescent="0.3">
      <c r="A273" s="6">
        <v>272</v>
      </c>
      <c r="B273" s="1" t="s">
        <v>21</v>
      </c>
      <c r="C273" s="1" t="s">
        <v>567</v>
      </c>
      <c r="D273" s="1" t="s">
        <v>578</v>
      </c>
      <c r="E273" s="1">
        <v>9700018499</v>
      </c>
      <c r="F273" s="8" t="s">
        <v>9</v>
      </c>
      <c r="G273" s="1" t="s">
        <v>579</v>
      </c>
      <c r="H273" s="1" t="s">
        <v>25</v>
      </c>
      <c r="I273" s="11">
        <v>46241</v>
      </c>
      <c r="J273" s="11">
        <v>46248</v>
      </c>
      <c r="K273" s="11">
        <v>46254</v>
      </c>
      <c r="L273" s="11">
        <v>46255</v>
      </c>
      <c r="M273" s="1" t="s">
        <v>26</v>
      </c>
      <c r="N273" s="6">
        <v>14</v>
      </c>
      <c r="O273" s="6">
        <v>14</v>
      </c>
      <c r="P273" s="12">
        <f t="shared" si="87"/>
        <v>46254</v>
      </c>
      <c r="Q273" s="12">
        <f t="shared" si="87"/>
        <v>46261</v>
      </c>
      <c r="R273" s="24">
        <f t="shared" si="88"/>
        <v>-6</v>
      </c>
      <c r="S273" s="25">
        <f t="shared" si="86"/>
        <v>-6</v>
      </c>
      <c r="T273" s="23" t="str">
        <f t="shared" si="82"/>
        <v>No</v>
      </c>
      <c r="U273" s="23"/>
      <c r="V273" s="1" t="s">
        <v>570</v>
      </c>
    </row>
    <row r="274" spans="1:22" x14ac:dyDescent="0.3">
      <c r="A274" s="6">
        <v>273</v>
      </c>
      <c r="B274" s="1" t="s">
        <v>21</v>
      </c>
      <c r="C274" s="1" t="s">
        <v>567</v>
      </c>
      <c r="D274" s="1" t="s">
        <v>580</v>
      </c>
      <c r="E274" s="1">
        <v>9700018499</v>
      </c>
      <c r="F274" s="8" t="s">
        <v>9</v>
      </c>
      <c r="G274" s="1" t="s">
        <v>581</v>
      </c>
      <c r="H274" s="1" t="s">
        <v>25</v>
      </c>
      <c r="I274" s="11">
        <v>46241</v>
      </c>
      <c r="J274" s="11">
        <v>46251</v>
      </c>
      <c r="K274" s="11">
        <v>46253</v>
      </c>
      <c r="L274" s="11">
        <v>46254</v>
      </c>
      <c r="M274" s="1" t="s">
        <v>26</v>
      </c>
      <c r="N274" s="6">
        <v>14</v>
      </c>
      <c r="O274" s="6">
        <v>14</v>
      </c>
      <c r="P274" s="12">
        <f t="shared" si="87"/>
        <v>46254</v>
      </c>
      <c r="Q274" s="12">
        <f t="shared" si="87"/>
        <v>46264</v>
      </c>
      <c r="R274" s="24">
        <f t="shared" si="88"/>
        <v>-3</v>
      </c>
      <c r="S274" s="25">
        <f t="shared" si="86"/>
        <v>-10</v>
      </c>
      <c r="T274" s="23" t="str">
        <f t="shared" si="82"/>
        <v>No</v>
      </c>
      <c r="U274" s="23"/>
      <c r="V274" s="1" t="s">
        <v>570</v>
      </c>
    </row>
    <row r="275" spans="1:22" x14ac:dyDescent="0.3">
      <c r="A275" s="6">
        <v>274</v>
      </c>
      <c r="B275" s="1" t="s">
        <v>21</v>
      </c>
      <c r="C275" s="1" t="s">
        <v>567</v>
      </c>
      <c r="D275" s="1" t="s">
        <v>582</v>
      </c>
      <c r="E275" s="1">
        <v>9700018499</v>
      </c>
      <c r="F275" s="8" t="s">
        <v>9</v>
      </c>
      <c r="G275" s="1" t="s">
        <v>583</v>
      </c>
      <c r="H275" s="1" t="s">
        <v>25</v>
      </c>
      <c r="I275" s="11">
        <v>46241</v>
      </c>
      <c r="J275" s="11">
        <v>46248</v>
      </c>
      <c r="K275" s="11">
        <v>46253</v>
      </c>
      <c r="L275" s="11">
        <v>46253</v>
      </c>
      <c r="M275" s="1" t="s">
        <v>26</v>
      </c>
      <c r="N275" s="6">
        <v>14</v>
      </c>
      <c r="O275" s="6">
        <v>14</v>
      </c>
      <c r="P275" s="12">
        <f t="shared" si="87"/>
        <v>46254</v>
      </c>
      <c r="Q275" s="12">
        <f t="shared" si="87"/>
        <v>46261</v>
      </c>
      <c r="R275" s="24">
        <f t="shared" si="88"/>
        <v>-6</v>
      </c>
      <c r="S275" s="25">
        <f t="shared" si="86"/>
        <v>-8</v>
      </c>
      <c r="T275" s="23" t="str">
        <f t="shared" si="82"/>
        <v>No</v>
      </c>
      <c r="U275" s="23"/>
      <c r="V275" s="1" t="s">
        <v>570</v>
      </c>
    </row>
    <row r="276" spans="1:22" x14ac:dyDescent="0.3">
      <c r="A276" s="6">
        <v>275</v>
      </c>
      <c r="B276" s="1" t="s">
        <v>21</v>
      </c>
      <c r="C276" s="1" t="s">
        <v>567</v>
      </c>
      <c r="D276" s="1" t="s">
        <v>584</v>
      </c>
      <c r="E276" s="1">
        <v>9700018499</v>
      </c>
      <c r="F276" s="8" t="s">
        <v>9</v>
      </c>
      <c r="G276" s="1" t="s">
        <v>583</v>
      </c>
      <c r="H276" s="1" t="s">
        <v>25</v>
      </c>
      <c r="I276" s="11">
        <v>46241</v>
      </c>
      <c r="J276" s="11">
        <v>46251</v>
      </c>
      <c r="K276" s="11">
        <v>46255</v>
      </c>
      <c r="L276" s="11">
        <v>46256</v>
      </c>
      <c r="M276" s="1" t="s">
        <v>26</v>
      </c>
      <c r="N276" s="6">
        <v>14</v>
      </c>
      <c r="O276" s="6">
        <v>14</v>
      </c>
      <c r="P276" s="12">
        <f t="shared" si="87"/>
        <v>46254</v>
      </c>
      <c r="Q276" s="12">
        <f t="shared" si="87"/>
        <v>46264</v>
      </c>
      <c r="R276" s="24">
        <f t="shared" si="88"/>
        <v>-3</v>
      </c>
      <c r="S276" s="25">
        <f t="shared" si="86"/>
        <v>-8</v>
      </c>
      <c r="T276" s="23" t="str">
        <f t="shared" si="82"/>
        <v>No</v>
      </c>
      <c r="U276" s="23"/>
      <c r="V276" s="1" t="s">
        <v>570</v>
      </c>
    </row>
    <row r="277" spans="1:22" x14ac:dyDescent="0.3">
      <c r="A277" s="6">
        <v>276</v>
      </c>
      <c r="B277" s="1" t="s">
        <v>21</v>
      </c>
      <c r="C277" s="1" t="s">
        <v>567</v>
      </c>
      <c r="D277" s="1" t="s">
        <v>585</v>
      </c>
      <c r="E277" s="1">
        <v>9700018499</v>
      </c>
      <c r="F277" s="8" t="s">
        <v>9</v>
      </c>
      <c r="G277" s="1" t="s">
        <v>581</v>
      </c>
      <c r="H277" s="1" t="s">
        <v>25</v>
      </c>
      <c r="I277" s="11">
        <v>46241</v>
      </c>
      <c r="J277" s="11">
        <v>46252</v>
      </c>
      <c r="K277" s="11">
        <v>46255</v>
      </c>
      <c r="L277" s="11">
        <v>46256</v>
      </c>
      <c r="M277" s="1" t="s">
        <v>26</v>
      </c>
      <c r="N277" s="6">
        <v>14</v>
      </c>
      <c r="O277" s="6">
        <v>14</v>
      </c>
      <c r="P277" s="12">
        <f t="shared" si="87"/>
        <v>46254</v>
      </c>
      <c r="Q277" s="12">
        <f t="shared" si="87"/>
        <v>46265</v>
      </c>
      <c r="R277" s="24">
        <f t="shared" si="88"/>
        <v>-2</v>
      </c>
      <c r="S277" s="25">
        <f t="shared" si="86"/>
        <v>-9</v>
      </c>
      <c r="T277" s="23" t="str">
        <f t="shared" ref="T277:T280" si="94">IF(R277&gt;0,"To Paid","No")</f>
        <v>No</v>
      </c>
      <c r="U277" s="23"/>
      <c r="V277" s="1" t="s">
        <v>570</v>
      </c>
    </row>
    <row r="278" spans="1:22" x14ac:dyDescent="0.3">
      <c r="A278" s="6">
        <v>277</v>
      </c>
      <c r="B278" s="1" t="s">
        <v>21</v>
      </c>
      <c r="C278" s="1" t="s">
        <v>586</v>
      </c>
      <c r="D278" s="1" t="s">
        <v>587</v>
      </c>
      <c r="E278" s="1">
        <v>9700018532</v>
      </c>
      <c r="F278" s="8" t="s">
        <v>9</v>
      </c>
      <c r="G278" s="49" t="s">
        <v>588</v>
      </c>
      <c r="H278" s="1" t="s">
        <v>25</v>
      </c>
      <c r="I278" s="11">
        <v>46236</v>
      </c>
      <c r="J278" s="11">
        <v>46241</v>
      </c>
      <c r="K278" s="11">
        <v>46242</v>
      </c>
      <c r="L278" s="11">
        <v>46244</v>
      </c>
      <c r="M278" s="1" t="s">
        <v>26</v>
      </c>
      <c r="N278" s="6">
        <v>14</v>
      </c>
      <c r="O278" s="6">
        <v>14</v>
      </c>
      <c r="P278" s="12">
        <f t="shared" si="87"/>
        <v>46249</v>
      </c>
      <c r="Q278" s="12">
        <f t="shared" si="87"/>
        <v>46254</v>
      </c>
      <c r="R278" s="24">
        <f t="shared" si="88"/>
        <v>-8</v>
      </c>
      <c r="S278" s="25">
        <f t="shared" si="86"/>
        <v>-10</v>
      </c>
      <c r="T278" s="23" t="str">
        <f t="shared" si="94"/>
        <v>No</v>
      </c>
      <c r="U278" s="23"/>
      <c r="V278" s="1" t="s">
        <v>589</v>
      </c>
    </row>
    <row r="279" spans="1:22" x14ac:dyDescent="0.3">
      <c r="A279" s="6">
        <v>278</v>
      </c>
      <c r="B279" s="1" t="s">
        <v>21</v>
      </c>
      <c r="C279" s="1" t="s">
        <v>586</v>
      </c>
      <c r="D279" s="1" t="s">
        <v>590</v>
      </c>
      <c r="E279" s="1">
        <v>9700018532</v>
      </c>
      <c r="F279" s="8" t="s">
        <v>9</v>
      </c>
      <c r="G279" s="50"/>
      <c r="H279" s="1" t="s">
        <v>25</v>
      </c>
      <c r="I279" s="11">
        <v>46236</v>
      </c>
      <c r="J279" s="11">
        <v>46242</v>
      </c>
      <c r="K279" s="11">
        <v>46244</v>
      </c>
      <c r="L279" s="11">
        <v>46245</v>
      </c>
      <c r="M279" s="1" t="s">
        <v>26</v>
      </c>
      <c r="N279" s="6">
        <v>14</v>
      </c>
      <c r="O279" s="6">
        <v>14</v>
      </c>
      <c r="P279" s="12">
        <f t="shared" si="87"/>
        <v>46249</v>
      </c>
      <c r="Q279" s="12">
        <f t="shared" si="87"/>
        <v>46255</v>
      </c>
      <c r="R279" s="24">
        <f t="shared" si="88"/>
        <v>-7</v>
      </c>
      <c r="S279" s="25">
        <f t="shared" si="86"/>
        <v>-10</v>
      </c>
      <c r="T279" s="23" t="str">
        <f t="shared" si="94"/>
        <v>No</v>
      </c>
      <c r="U279" s="23"/>
      <c r="V279" s="1" t="s">
        <v>589</v>
      </c>
    </row>
    <row r="280" spans="1:22" x14ac:dyDescent="0.3">
      <c r="A280" s="6">
        <v>279</v>
      </c>
      <c r="B280" s="1" t="s">
        <v>317</v>
      </c>
      <c r="C280" s="1" t="s">
        <v>591</v>
      </c>
      <c r="D280" s="35" t="s">
        <v>592</v>
      </c>
      <c r="E280" s="1">
        <v>1510003382</v>
      </c>
      <c r="F280" s="8" t="s">
        <v>9</v>
      </c>
      <c r="G280" s="9" t="s">
        <v>593</v>
      </c>
      <c r="H280" s="1" t="s">
        <v>66</v>
      </c>
      <c r="I280" s="11">
        <v>46238</v>
      </c>
      <c r="J280" s="11">
        <v>46260</v>
      </c>
      <c r="K280" s="11">
        <v>46262</v>
      </c>
      <c r="L280" s="11">
        <v>46263</v>
      </c>
      <c r="M280" s="1" t="s">
        <v>32</v>
      </c>
      <c r="N280" s="6">
        <v>21</v>
      </c>
      <c r="O280" s="6">
        <v>0</v>
      </c>
      <c r="P280" s="12">
        <f t="shared" si="87"/>
        <v>46258</v>
      </c>
      <c r="Q280" s="12">
        <f t="shared" si="87"/>
        <v>46259</v>
      </c>
      <c r="R280" s="24">
        <f t="shared" si="88"/>
        <v>2</v>
      </c>
      <c r="S280" s="25">
        <f t="shared" si="86"/>
        <v>4</v>
      </c>
      <c r="T280" s="23" t="str">
        <f t="shared" si="94"/>
        <v>To Paid</v>
      </c>
      <c r="U280" s="38" t="s">
        <v>321</v>
      </c>
      <c r="V280" s="1" t="s">
        <v>594</v>
      </c>
    </row>
    <row r="281" spans="1:22" x14ac:dyDescent="0.3">
      <c r="A281" s="6">
        <v>280</v>
      </c>
      <c r="B281" s="1" t="s">
        <v>317</v>
      </c>
      <c r="C281" s="1" t="s">
        <v>591</v>
      </c>
      <c r="D281" s="1" t="s">
        <v>595</v>
      </c>
      <c r="E281" s="1">
        <v>1510003382</v>
      </c>
      <c r="F281" s="8" t="s">
        <v>9</v>
      </c>
      <c r="G281" s="9" t="s">
        <v>593</v>
      </c>
      <c r="H281" s="1" t="s">
        <v>25</v>
      </c>
      <c r="I281" s="11">
        <v>46238</v>
      </c>
      <c r="J281" s="11">
        <v>46261</v>
      </c>
      <c r="K281" s="11">
        <v>46269</v>
      </c>
      <c r="L281" s="11">
        <v>46269</v>
      </c>
      <c r="M281" s="1" t="s">
        <v>32</v>
      </c>
      <c r="N281" s="6">
        <v>21</v>
      </c>
      <c r="O281" s="6">
        <v>0</v>
      </c>
      <c r="P281" s="12">
        <f t="shared" ref="P281:Q330" si="95">I281+N281-1</f>
        <v>46258</v>
      </c>
      <c r="Q281" s="12">
        <f t="shared" si="95"/>
        <v>46260</v>
      </c>
      <c r="R281" s="24">
        <f t="shared" ref="R281:R330" si="96">J281-P281</f>
        <v>3</v>
      </c>
      <c r="S281" s="25">
        <f t="shared" ref="S281:S330" si="97">L281-Q281</f>
        <v>9</v>
      </c>
      <c r="T281" s="23" t="str">
        <f t="shared" ref="T281:T330" si="98">IF(R281&gt;0,"To Paid","No")</f>
        <v>To Paid</v>
      </c>
      <c r="U281" s="38" t="s">
        <v>321</v>
      </c>
      <c r="V281" s="1" t="s">
        <v>596</v>
      </c>
    </row>
    <row r="282" spans="1:22" x14ac:dyDescent="0.3">
      <c r="A282" s="6">
        <v>281</v>
      </c>
      <c r="B282" s="1" t="s">
        <v>317</v>
      </c>
      <c r="C282" s="1" t="s">
        <v>591</v>
      </c>
      <c r="D282" s="1" t="s">
        <v>597</v>
      </c>
      <c r="E282" s="1">
        <v>1510003382</v>
      </c>
      <c r="F282" s="8" t="s">
        <v>9</v>
      </c>
      <c r="G282" s="9" t="s">
        <v>598</v>
      </c>
      <c r="H282" s="1" t="s">
        <v>66</v>
      </c>
      <c r="I282" s="11">
        <v>46238</v>
      </c>
      <c r="J282" s="11">
        <v>46260</v>
      </c>
      <c r="K282" s="11">
        <v>46266</v>
      </c>
      <c r="L282" s="11">
        <v>46268</v>
      </c>
      <c r="M282" s="1" t="s">
        <v>32</v>
      </c>
      <c r="N282" s="6">
        <v>21</v>
      </c>
      <c r="O282" s="6">
        <v>0</v>
      </c>
      <c r="P282" s="12">
        <f t="shared" si="95"/>
        <v>46258</v>
      </c>
      <c r="Q282" s="12">
        <f t="shared" si="95"/>
        <v>46259</v>
      </c>
      <c r="R282" s="24">
        <f t="shared" si="96"/>
        <v>2</v>
      </c>
      <c r="S282" s="25">
        <f t="shared" si="97"/>
        <v>9</v>
      </c>
      <c r="T282" s="23" t="str">
        <f t="shared" si="98"/>
        <v>To Paid</v>
      </c>
      <c r="U282" s="38" t="s">
        <v>321</v>
      </c>
      <c r="V282" s="1" t="s">
        <v>596</v>
      </c>
    </row>
    <row r="283" spans="1:22" x14ac:dyDescent="0.3">
      <c r="A283" s="6">
        <v>282</v>
      </c>
      <c r="B283" s="1" t="s">
        <v>317</v>
      </c>
      <c r="C283" s="1" t="s">
        <v>591</v>
      </c>
      <c r="D283" s="1" t="s">
        <v>599</v>
      </c>
      <c r="E283" s="1">
        <v>1510003382</v>
      </c>
      <c r="F283" s="8" t="s">
        <v>9</v>
      </c>
      <c r="G283" s="9" t="s">
        <v>598</v>
      </c>
      <c r="H283" s="1" t="s">
        <v>25</v>
      </c>
      <c r="I283" s="11">
        <v>46238</v>
      </c>
      <c r="J283" s="11">
        <v>46260</v>
      </c>
      <c r="K283" s="11">
        <v>46267</v>
      </c>
      <c r="L283" s="11">
        <v>46268</v>
      </c>
      <c r="M283" s="1" t="s">
        <v>32</v>
      </c>
      <c r="N283" s="6">
        <v>21</v>
      </c>
      <c r="O283" s="6">
        <v>0</v>
      </c>
      <c r="P283" s="12">
        <f t="shared" si="95"/>
        <v>46258</v>
      </c>
      <c r="Q283" s="12">
        <f t="shared" si="95"/>
        <v>46259</v>
      </c>
      <c r="R283" s="24">
        <f t="shared" si="96"/>
        <v>2</v>
      </c>
      <c r="S283" s="25">
        <f t="shared" si="97"/>
        <v>9</v>
      </c>
      <c r="T283" s="23" t="str">
        <f t="shared" si="98"/>
        <v>To Paid</v>
      </c>
      <c r="U283" s="38" t="s">
        <v>321</v>
      </c>
      <c r="V283" s="1" t="s">
        <v>596</v>
      </c>
    </row>
    <row r="284" spans="1:22" ht="14.4" customHeight="1" x14ac:dyDescent="0.3">
      <c r="A284" s="6">
        <v>283</v>
      </c>
      <c r="B284" s="1" t="s">
        <v>317</v>
      </c>
      <c r="C284" s="1" t="s">
        <v>591</v>
      </c>
      <c r="D284" s="35" t="s">
        <v>600</v>
      </c>
      <c r="E284" s="1">
        <v>1510003382</v>
      </c>
      <c r="F284" s="8" t="s">
        <v>9</v>
      </c>
      <c r="G284" s="9" t="s">
        <v>593</v>
      </c>
      <c r="H284" s="1" t="s">
        <v>66</v>
      </c>
      <c r="I284" s="11">
        <v>46238</v>
      </c>
      <c r="J284" s="11">
        <v>46260</v>
      </c>
      <c r="K284" s="11">
        <v>46261</v>
      </c>
      <c r="L284" s="11">
        <v>46262</v>
      </c>
      <c r="M284" s="1" t="s">
        <v>32</v>
      </c>
      <c r="N284" s="6">
        <v>21</v>
      </c>
      <c r="O284" s="6">
        <v>0</v>
      </c>
      <c r="P284" s="12">
        <f t="shared" si="95"/>
        <v>46258</v>
      </c>
      <c r="Q284" s="12">
        <f t="shared" si="95"/>
        <v>46259</v>
      </c>
      <c r="R284" s="24">
        <f t="shared" si="96"/>
        <v>2</v>
      </c>
      <c r="S284" s="25">
        <f t="shared" si="97"/>
        <v>3</v>
      </c>
      <c r="T284" s="23" t="str">
        <f t="shared" si="98"/>
        <v>To Paid</v>
      </c>
      <c r="U284" s="38" t="s">
        <v>321</v>
      </c>
      <c r="V284" s="1" t="s">
        <v>596</v>
      </c>
    </row>
    <row r="285" spans="1:22" x14ac:dyDescent="0.3">
      <c r="A285" s="6">
        <v>284</v>
      </c>
      <c r="B285" s="1" t="s">
        <v>317</v>
      </c>
      <c r="C285" s="1" t="s">
        <v>591</v>
      </c>
      <c r="D285" s="35" t="s">
        <v>601</v>
      </c>
      <c r="E285" s="1">
        <v>1510003382</v>
      </c>
      <c r="F285" s="8" t="s">
        <v>9</v>
      </c>
      <c r="G285" s="9" t="s">
        <v>598</v>
      </c>
      <c r="H285" s="1" t="s">
        <v>25</v>
      </c>
      <c r="I285" s="11">
        <v>46238</v>
      </c>
      <c r="J285" s="11">
        <v>46260</v>
      </c>
      <c r="K285" s="11">
        <v>46262</v>
      </c>
      <c r="L285" s="11">
        <v>46263</v>
      </c>
      <c r="M285" s="1" t="s">
        <v>32</v>
      </c>
      <c r="N285" s="6">
        <v>21</v>
      </c>
      <c r="O285" s="6">
        <v>0</v>
      </c>
      <c r="P285" s="12">
        <f t="shared" si="95"/>
        <v>46258</v>
      </c>
      <c r="Q285" s="12">
        <f t="shared" si="95"/>
        <v>46259</v>
      </c>
      <c r="R285" s="24">
        <f t="shared" si="96"/>
        <v>2</v>
      </c>
      <c r="S285" s="25">
        <f t="shared" si="97"/>
        <v>4</v>
      </c>
      <c r="T285" s="23" t="str">
        <f t="shared" si="98"/>
        <v>To Paid</v>
      </c>
      <c r="U285" s="38" t="s">
        <v>321</v>
      </c>
      <c r="V285" s="1" t="s">
        <v>596</v>
      </c>
    </row>
    <row r="286" spans="1:22" x14ac:dyDescent="0.3">
      <c r="A286" s="6">
        <v>285</v>
      </c>
      <c r="B286" s="1" t="s">
        <v>28</v>
      </c>
      <c r="C286" s="1" t="s">
        <v>602</v>
      </c>
      <c r="D286" s="1" t="s">
        <v>603</v>
      </c>
      <c r="E286" s="1">
        <v>1510003102</v>
      </c>
      <c r="F286" s="8" t="s">
        <v>9</v>
      </c>
      <c r="G286" s="1" t="s">
        <v>604</v>
      </c>
      <c r="H286" s="1" t="s">
        <v>25</v>
      </c>
      <c r="I286" s="11">
        <v>46256</v>
      </c>
      <c r="J286" s="11">
        <v>46269</v>
      </c>
      <c r="K286" s="11">
        <v>46273</v>
      </c>
      <c r="L286" s="11">
        <v>46274</v>
      </c>
      <c r="M286" s="1" t="s">
        <v>32</v>
      </c>
      <c r="N286" s="6">
        <v>4</v>
      </c>
      <c r="O286" s="6">
        <v>0</v>
      </c>
      <c r="P286" s="12">
        <f t="shared" si="95"/>
        <v>46259</v>
      </c>
      <c r="Q286" s="12">
        <f t="shared" si="95"/>
        <v>46268</v>
      </c>
      <c r="R286" s="24">
        <f t="shared" si="96"/>
        <v>10</v>
      </c>
      <c r="S286" s="25">
        <f t="shared" si="97"/>
        <v>6</v>
      </c>
      <c r="T286" s="23" t="str">
        <f t="shared" si="98"/>
        <v>To Paid</v>
      </c>
      <c r="U286" s="23"/>
      <c r="V286" s="1" t="s">
        <v>605</v>
      </c>
    </row>
    <row r="287" spans="1:22" x14ac:dyDescent="0.3">
      <c r="A287" s="6">
        <v>286</v>
      </c>
      <c r="B287" s="1" t="s">
        <v>41</v>
      </c>
      <c r="C287" s="1" t="s">
        <v>606</v>
      </c>
      <c r="D287" s="1" t="s">
        <v>607</v>
      </c>
      <c r="E287" s="1">
        <v>1510002478</v>
      </c>
      <c r="F287" s="8" t="s">
        <v>9</v>
      </c>
      <c r="G287" s="1" t="s">
        <v>44</v>
      </c>
      <c r="H287" s="1" t="s">
        <v>25</v>
      </c>
      <c r="I287" s="11">
        <v>46249</v>
      </c>
      <c r="J287" s="11">
        <v>46256</v>
      </c>
      <c r="K287" s="11">
        <v>46261</v>
      </c>
      <c r="L287" s="11">
        <v>46262</v>
      </c>
      <c r="M287" s="1" t="s">
        <v>26</v>
      </c>
      <c r="N287" s="6">
        <v>14</v>
      </c>
      <c r="O287" s="6">
        <v>14</v>
      </c>
      <c r="P287" s="12">
        <f t="shared" si="95"/>
        <v>46262</v>
      </c>
      <c r="Q287" s="12">
        <f t="shared" si="95"/>
        <v>46269</v>
      </c>
      <c r="R287" s="24">
        <f t="shared" si="96"/>
        <v>-6</v>
      </c>
      <c r="S287" s="25">
        <f t="shared" si="97"/>
        <v>-7</v>
      </c>
      <c r="T287" s="23" t="str">
        <f t="shared" si="98"/>
        <v>No</v>
      </c>
      <c r="U287" s="23"/>
      <c r="V287" s="1" t="s">
        <v>608</v>
      </c>
    </row>
    <row r="288" spans="1:22" x14ac:dyDescent="0.3">
      <c r="A288" s="6">
        <v>287</v>
      </c>
      <c r="B288" s="1" t="s">
        <v>317</v>
      </c>
      <c r="C288" s="1" t="s">
        <v>609</v>
      </c>
      <c r="D288" s="1" t="s">
        <v>610</v>
      </c>
      <c r="E288" s="1">
        <v>1510003382</v>
      </c>
      <c r="F288" s="8" t="s">
        <v>9</v>
      </c>
      <c r="G288" s="34" t="s">
        <v>345</v>
      </c>
      <c r="H288" s="1" t="s">
        <v>66</v>
      </c>
      <c r="I288" s="11">
        <v>46238</v>
      </c>
      <c r="J288" s="11">
        <v>46263</v>
      </c>
      <c r="K288" s="11">
        <v>46272</v>
      </c>
      <c r="L288" s="11">
        <v>46274</v>
      </c>
      <c r="M288" s="1" t="s">
        <v>32</v>
      </c>
      <c r="N288" s="6">
        <v>21</v>
      </c>
      <c r="O288" s="6">
        <v>0</v>
      </c>
      <c r="P288" s="12">
        <f t="shared" si="95"/>
        <v>46258</v>
      </c>
      <c r="Q288" s="12">
        <f t="shared" si="95"/>
        <v>46262</v>
      </c>
      <c r="R288" s="24">
        <f>J288-P288</f>
        <v>5</v>
      </c>
      <c r="S288" s="25">
        <f t="shared" si="97"/>
        <v>12</v>
      </c>
      <c r="T288" s="23" t="str">
        <f t="shared" si="98"/>
        <v>To Paid</v>
      </c>
      <c r="U288" s="38" t="s">
        <v>321</v>
      </c>
      <c r="V288" s="1" t="s">
        <v>611</v>
      </c>
    </row>
    <row r="289" spans="1:22" x14ac:dyDescent="0.3">
      <c r="A289" s="6">
        <v>288</v>
      </c>
      <c r="B289" s="1" t="s">
        <v>317</v>
      </c>
      <c r="C289" s="1" t="s">
        <v>609</v>
      </c>
      <c r="D289" s="1" t="s">
        <v>612</v>
      </c>
      <c r="E289" s="1">
        <v>1510003382</v>
      </c>
      <c r="F289" s="8" t="s">
        <v>9</v>
      </c>
      <c r="G289" s="34" t="s">
        <v>450</v>
      </c>
      <c r="H289" s="1" t="s">
        <v>25</v>
      </c>
      <c r="I289" s="11">
        <v>46238</v>
      </c>
      <c r="J289" s="11">
        <v>46263</v>
      </c>
      <c r="K289" s="11">
        <v>46268</v>
      </c>
      <c r="L289" s="11">
        <v>46269</v>
      </c>
      <c r="M289" s="1" t="s">
        <v>32</v>
      </c>
      <c r="N289" s="6">
        <v>21</v>
      </c>
      <c r="O289" s="6">
        <v>0</v>
      </c>
      <c r="P289" s="12">
        <f t="shared" si="95"/>
        <v>46258</v>
      </c>
      <c r="Q289" s="12">
        <f t="shared" si="95"/>
        <v>46262</v>
      </c>
      <c r="R289" s="24">
        <f t="shared" si="96"/>
        <v>5</v>
      </c>
      <c r="S289" s="25">
        <f t="shared" si="97"/>
        <v>7</v>
      </c>
      <c r="T289" s="23" t="str">
        <f t="shared" si="98"/>
        <v>To Paid</v>
      </c>
      <c r="U289" s="38" t="s">
        <v>321</v>
      </c>
      <c r="V289" s="1" t="s">
        <v>611</v>
      </c>
    </row>
    <row r="290" spans="1:22" x14ac:dyDescent="0.3">
      <c r="A290" s="6">
        <v>289</v>
      </c>
      <c r="B290" s="1" t="s">
        <v>317</v>
      </c>
      <c r="C290" s="1" t="s">
        <v>609</v>
      </c>
      <c r="D290" s="1" t="s">
        <v>613</v>
      </c>
      <c r="E290" s="1">
        <v>1510003382</v>
      </c>
      <c r="F290" s="8" t="s">
        <v>9</v>
      </c>
      <c r="G290" s="34" t="s">
        <v>614</v>
      </c>
      <c r="H290" s="1" t="s">
        <v>66</v>
      </c>
      <c r="I290" s="11">
        <v>46238</v>
      </c>
      <c r="J290" s="11">
        <v>46263</v>
      </c>
      <c r="K290" s="11">
        <v>46272</v>
      </c>
      <c r="L290" s="11">
        <v>46274</v>
      </c>
      <c r="M290" s="1" t="s">
        <v>32</v>
      </c>
      <c r="N290" s="6">
        <v>21</v>
      </c>
      <c r="O290" s="6">
        <v>0</v>
      </c>
      <c r="P290" s="12">
        <f t="shared" si="95"/>
        <v>46258</v>
      </c>
      <c r="Q290" s="12">
        <f t="shared" si="95"/>
        <v>46262</v>
      </c>
      <c r="R290" s="24">
        <f t="shared" si="96"/>
        <v>5</v>
      </c>
      <c r="S290" s="25">
        <f t="shared" si="97"/>
        <v>12</v>
      </c>
      <c r="T290" s="23" t="str">
        <f t="shared" si="98"/>
        <v>To Paid</v>
      </c>
      <c r="U290" s="38" t="s">
        <v>321</v>
      </c>
      <c r="V290" s="1" t="s">
        <v>611</v>
      </c>
    </row>
    <row r="291" spans="1:22" x14ac:dyDescent="0.3">
      <c r="A291" s="6">
        <v>290</v>
      </c>
      <c r="B291" s="1" t="s">
        <v>317</v>
      </c>
      <c r="C291" s="1" t="s">
        <v>609</v>
      </c>
      <c r="D291" s="1" t="s">
        <v>615</v>
      </c>
      <c r="E291" s="1">
        <v>1510003382</v>
      </c>
      <c r="F291" s="8" t="s">
        <v>9</v>
      </c>
      <c r="G291" s="34" t="s">
        <v>345</v>
      </c>
      <c r="H291" s="1" t="s">
        <v>66</v>
      </c>
      <c r="I291" s="11">
        <v>46238</v>
      </c>
      <c r="J291" s="11">
        <v>46266</v>
      </c>
      <c r="K291" s="11">
        <v>46273</v>
      </c>
      <c r="L291" s="11">
        <v>46274</v>
      </c>
      <c r="M291" s="1" t="s">
        <v>32</v>
      </c>
      <c r="N291" s="6">
        <v>21</v>
      </c>
      <c r="O291" s="6">
        <v>0</v>
      </c>
      <c r="P291" s="12">
        <f t="shared" si="95"/>
        <v>46258</v>
      </c>
      <c r="Q291" s="12">
        <f t="shared" si="95"/>
        <v>46265</v>
      </c>
      <c r="R291" s="24">
        <f t="shared" si="96"/>
        <v>8</v>
      </c>
      <c r="S291" s="25">
        <f t="shared" si="97"/>
        <v>9</v>
      </c>
      <c r="T291" s="23" t="str">
        <f t="shared" si="98"/>
        <v>To Paid</v>
      </c>
      <c r="U291" s="38" t="s">
        <v>321</v>
      </c>
      <c r="V291" s="1" t="s">
        <v>611</v>
      </c>
    </row>
    <row r="292" spans="1:22" x14ac:dyDescent="0.3">
      <c r="A292" s="6">
        <v>291</v>
      </c>
      <c r="B292" s="1" t="s">
        <v>317</v>
      </c>
      <c r="C292" s="1" t="s">
        <v>609</v>
      </c>
      <c r="D292" s="1" t="s">
        <v>616</v>
      </c>
      <c r="E292" s="1">
        <v>1510003382</v>
      </c>
      <c r="F292" s="8" t="s">
        <v>9</v>
      </c>
      <c r="G292" s="34" t="s">
        <v>450</v>
      </c>
      <c r="H292" s="1" t="s">
        <v>25</v>
      </c>
      <c r="I292" s="11">
        <v>46238</v>
      </c>
      <c r="J292" s="11">
        <v>46264</v>
      </c>
      <c r="K292" s="11">
        <v>46271</v>
      </c>
      <c r="L292" s="11">
        <v>46274</v>
      </c>
      <c r="M292" s="1" t="s">
        <v>32</v>
      </c>
      <c r="N292" s="6">
        <v>21</v>
      </c>
      <c r="O292" s="6">
        <v>0</v>
      </c>
      <c r="P292" s="12">
        <f t="shared" si="95"/>
        <v>46258</v>
      </c>
      <c r="Q292" s="12">
        <f t="shared" si="95"/>
        <v>46263</v>
      </c>
      <c r="R292" s="24">
        <f t="shared" si="96"/>
        <v>6</v>
      </c>
      <c r="S292" s="25">
        <f t="shared" si="97"/>
        <v>11</v>
      </c>
      <c r="T292" s="23" t="str">
        <f t="shared" si="98"/>
        <v>To Paid</v>
      </c>
      <c r="U292" s="38" t="s">
        <v>321</v>
      </c>
      <c r="V292" s="1" t="s">
        <v>611</v>
      </c>
    </row>
    <row r="293" spans="1:22" x14ac:dyDescent="0.3">
      <c r="A293" s="6">
        <v>292</v>
      </c>
      <c r="B293" s="1" t="s">
        <v>115</v>
      </c>
      <c r="C293" s="1" t="s">
        <v>617</v>
      </c>
      <c r="D293" s="1" t="s">
        <v>618</v>
      </c>
      <c r="E293" s="1">
        <v>1510003135</v>
      </c>
      <c r="F293" s="8" t="s">
        <v>9</v>
      </c>
      <c r="G293" s="1" t="s">
        <v>313</v>
      </c>
      <c r="H293" s="1" t="s">
        <v>55</v>
      </c>
      <c r="I293" s="11">
        <v>46248</v>
      </c>
      <c r="J293" s="11">
        <v>46254</v>
      </c>
      <c r="K293" s="11">
        <v>46257</v>
      </c>
      <c r="L293" s="11">
        <v>46258</v>
      </c>
      <c r="M293" s="1" t="s">
        <v>32</v>
      </c>
      <c r="N293" s="6">
        <v>20</v>
      </c>
      <c r="O293" s="6">
        <v>15</v>
      </c>
      <c r="P293" s="12">
        <f t="shared" si="95"/>
        <v>46267</v>
      </c>
      <c r="Q293" s="11">
        <f>J293+O293-1</f>
        <v>46268</v>
      </c>
      <c r="R293" s="24">
        <f>J293-P293</f>
        <v>-13</v>
      </c>
      <c r="S293" s="25">
        <f>L293-Q293</f>
        <v>-10</v>
      </c>
      <c r="T293" s="23" t="str">
        <f t="shared" si="98"/>
        <v>No</v>
      </c>
      <c r="U293" s="23"/>
      <c r="V293" s="1" t="s">
        <v>619</v>
      </c>
    </row>
    <row r="294" spans="1:22" x14ac:dyDescent="0.3">
      <c r="A294" s="6">
        <v>293</v>
      </c>
      <c r="B294" s="1" t="s">
        <v>152</v>
      </c>
      <c r="C294" s="1" t="s">
        <v>620</v>
      </c>
      <c r="D294" s="1" t="s">
        <v>621</v>
      </c>
      <c r="E294" s="1">
        <v>1510003414</v>
      </c>
      <c r="F294" s="8" t="s">
        <v>9</v>
      </c>
      <c r="G294" s="1" t="s">
        <v>155</v>
      </c>
      <c r="H294" s="1" t="s">
        <v>25</v>
      </c>
      <c r="I294" s="11">
        <v>46271</v>
      </c>
      <c r="J294" s="11">
        <v>46274</v>
      </c>
      <c r="K294" s="11">
        <v>46279</v>
      </c>
      <c r="L294" s="11">
        <v>46280</v>
      </c>
      <c r="M294" s="1" t="s">
        <v>26</v>
      </c>
      <c r="N294" s="6">
        <v>7</v>
      </c>
      <c r="O294" s="6">
        <v>7</v>
      </c>
      <c r="P294" s="12">
        <f t="shared" si="95"/>
        <v>46277</v>
      </c>
      <c r="Q294" s="12">
        <f t="shared" si="95"/>
        <v>46280</v>
      </c>
      <c r="R294" s="24">
        <f t="shared" si="96"/>
        <v>-3</v>
      </c>
      <c r="S294" s="25">
        <f t="shared" si="97"/>
        <v>0</v>
      </c>
      <c r="T294" s="23" t="str">
        <f t="shared" si="98"/>
        <v>No</v>
      </c>
      <c r="U294" s="23"/>
      <c r="V294" s="1" t="s">
        <v>622</v>
      </c>
    </row>
    <row r="295" spans="1:22" x14ac:dyDescent="0.3">
      <c r="A295" s="6">
        <v>294</v>
      </c>
      <c r="B295" s="1" t="s">
        <v>152</v>
      </c>
      <c r="C295" s="1" t="s">
        <v>620</v>
      </c>
      <c r="D295" s="1" t="s">
        <v>623</v>
      </c>
      <c r="E295" s="1">
        <v>1510003414</v>
      </c>
      <c r="F295" s="8" t="s">
        <v>9</v>
      </c>
      <c r="G295" s="1" t="s">
        <v>155</v>
      </c>
      <c r="H295" s="1" t="s">
        <v>25</v>
      </c>
      <c r="I295" s="11">
        <v>46271</v>
      </c>
      <c r="J295" s="11">
        <v>46274</v>
      </c>
      <c r="K295" s="11">
        <v>46278</v>
      </c>
      <c r="L295" s="11">
        <v>46279</v>
      </c>
      <c r="M295" s="1" t="s">
        <v>26</v>
      </c>
      <c r="N295" s="6">
        <v>7</v>
      </c>
      <c r="O295" s="6">
        <v>7</v>
      </c>
      <c r="P295" s="12">
        <f t="shared" si="95"/>
        <v>46277</v>
      </c>
      <c r="Q295" s="12">
        <f t="shared" si="95"/>
        <v>46280</v>
      </c>
      <c r="R295" s="24">
        <f t="shared" si="96"/>
        <v>-3</v>
      </c>
      <c r="S295" s="25">
        <f t="shared" si="97"/>
        <v>-1</v>
      </c>
      <c r="T295" s="23" t="str">
        <f t="shared" si="98"/>
        <v>No</v>
      </c>
      <c r="U295" s="23"/>
      <c r="V295" s="1" t="s">
        <v>622</v>
      </c>
    </row>
    <row r="296" spans="1:22" x14ac:dyDescent="0.3">
      <c r="A296" s="6">
        <v>295</v>
      </c>
      <c r="B296" s="1" t="s">
        <v>21</v>
      </c>
      <c r="C296" s="1" t="s">
        <v>624</v>
      </c>
      <c r="D296" s="1" t="s">
        <v>625</v>
      </c>
      <c r="E296" s="1">
        <v>9700018705</v>
      </c>
      <c r="F296" s="8" t="s">
        <v>9</v>
      </c>
      <c r="G296" s="1" t="s">
        <v>626</v>
      </c>
      <c r="H296" s="1" t="s">
        <v>25</v>
      </c>
      <c r="I296" s="11">
        <v>46258</v>
      </c>
      <c r="J296" s="11">
        <v>46260</v>
      </c>
      <c r="K296" s="11">
        <v>46260</v>
      </c>
      <c r="L296" s="11">
        <v>46260</v>
      </c>
      <c r="M296" s="1" t="s">
        <v>627</v>
      </c>
      <c r="N296" s="6">
        <v>3</v>
      </c>
      <c r="O296" s="6">
        <v>3</v>
      </c>
      <c r="P296" s="12">
        <f t="shared" si="95"/>
        <v>46260</v>
      </c>
      <c r="Q296" s="12">
        <f t="shared" si="95"/>
        <v>46262</v>
      </c>
      <c r="R296" s="24">
        <f t="shared" si="96"/>
        <v>0</v>
      </c>
      <c r="S296" s="25">
        <f t="shared" si="97"/>
        <v>-2</v>
      </c>
      <c r="T296" s="23" t="str">
        <f t="shared" si="98"/>
        <v>No</v>
      </c>
      <c r="U296" s="23"/>
      <c r="V296" s="1"/>
    </row>
    <row r="297" spans="1:22" x14ac:dyDescent="0.3">
      <c r="A297" s="6">
        <v>296</v>
      </c>
      <c r="B297" s="1" t="s">
        <v>21</v>
      </c>
      <c r="C297" s="1" t="s">
        <v>624</v>
      </c>
      <c r="D297" s="1" t="s">
        <v>625</v>
      </c>
      <c r="E297" s="1">
        <v>9700018706</v>
      </c>
      <c r="F297" s="8" t="s">
        <v>9</v>
      </c>
      <c r="G297" s="1" t="s">
        <v>628</v>
      </c>
      <c r="H297" s="1" t="s">
        <v>25</v>
      </c>
      <c r="I297" s="11">
        <v>46258</v>
      </c>
      <c r="J297" s="11">
        <v>46258</v>
      </c>
      <c r="K297" s="11">
        <v>46258</v>
      </c>
      <c r="L297" s="11">
        <v>46258</v>
      </c>
      <c r="M297" s="1" t="s">
        <v>627</v>
      </c>
      <c r="N297" s="6">
        <v>3</v>
      </c>
      <c r="O297" s="6">
        <v>3</v>
      </c>
      <c r="P297" s="12">
        <f t="shared" si="95"/>
        <v>46260</v>
      </c>
      <c r="Q297" s="12">
        <f t="shared" si="95"/>
        <v>46260</v>
      </c>
      <c r="R297" s="24">
        <f t="shared" si="96"/>
        <v>-2</v>
      </c>
      <c r="S297" s="25">
        <f t="shared" si="97"/>
        <v>-2</v>
      </c>
      <c r="T297" s="23" t="str">
        <f t="shared" si="98"/>
        <v>No</v>
      </c>
      <c r="U297" s="23"/>
      <c r="V297" s="1" t="s">
        <v>629</v>
      </c>
    </row>
    <row r="298" spans="1:22" x14ac:dyDescent="0.3">
      <c r="A298" s="6">
        <v>297</v>
      </c>
      <c r="B298" s="1" t="s">
        <v>115</v>
      </c>
      <c r="C298" s="1" t="s">
        <v>630</v>
      </c>
      <c r="D298" s="1" t="s">
        <v>631</v>
      </c>
      <c r="E298" s="1">
        <v>1510003268</v>
      </c>
      <c r="F298" s="8" t="s">
        <v>9</v>
      </c>
      <c r="G298" s="1" t="s">
        <v>632</v>
      </c>
      <c r="H298" s="1" t="s">
        <v>49</v>
      </c>
      <c r="I298" s="11">
        <v>46256</v>
      </c>
      <c r="J298" s="11">
        <v>46265</v>
      </c>
      <c r="K298" s="11">
        <v>46265</v>
      </c>
      <c r="L298" s="11">
        <v>46266</v>
      </c>
      <c r="M298" s="1" t="s">
        <v>32</v>
      </c>
      <c r="N298" s="6">
        <v>15</v>
      </c>
      <c r="O298" s="6">
        <v>20</v>
      </c>
      <c r="P298" s="12">
        <f t="shared" si="95"/>
        <v>46270</v>
      </c>
      <c r="Q298" s="12">
        <f t="shared" si="95"/>
        <v>46284</v>
      </c>
      <c r="R298" s="24">
        <f t="shared" si="96"/>
        <v>-5</v>
      </c>
      <c r="S298" s="25">
        <f t="shared" si="97"/>
        <v>-18</v>
      </c>
      <c r="T298" s="23" t="str">
        <f t="shared" si="98"/>
        <v>No</v>
      </c>
      <c r="U298" s="23"/>
      <c r="V298" s="1" t="s">
        <v>633</v>
      </c>
    </row>
    <row r="299" spans="1:22" x14ac:dyDescent="0.3">
      <c r="A299" s="6">
        <v>298</v>
      </c>
      <c r="B299" s="1" t="s">
        <v>21</v>
      </c>
      <c r="C299" s="1" t="s">
        <v>634</v>
      </c>
      <c r="D299" s="1" t="s">
        <v>635</v>
      </c>
      <c r="E299" s="1">
        <v>9700018592</v>
      </c>
      <c r="F299" s="8" t="s">
        <v>9</v>
      </c>
      <c r="G299" s="1" t="s">
        <v>636</v>
      </c>
      <c r="H299" s="1" t="s">
        <v>25</v>
      </c>
      <c r="I299" s="11">
        <v>46257</v>
      </c>
      <c r="J299" s="11">
        <v>46266</v>
      </c>
      <c r="K299" s="11">
        <v>46269</v>
      </c>
      <c r="L299" s="11">
        <v>46270</v>
      </c>
      <c r="M299" s="1" t="s">
        <v>26</v>
      </c>
      <c r="N299" s="6">
        <v>14</v>
      </c>
      <c r="O299" s="6">
        <v>14</v>
      </c>
      <c r="P299" s="12">
        <f t="shared" si="95"/>
        <v>46270</v>
      </c>
      <c r="Q299" s="12">
        <f t="shared" si="95"/>
        <v>46279</v>
      </c>
      <c r="R299" s="24">
        <f t="shared" si="96"/>
        <v>-4</v>
      </c>
      <c r="S299" s="25">
        <f t="shared" si="97"/>
        <v>-9</v>
      </c>
      <c r="T299" s="23" t="str">
        <f t="shared" si="98"/>
        <v>No</v>
      </c>
      <c r="U299" s="23"/>
      <c r="V299" s="1" t="s">
        <v>637</v>
      </c>
    </row>
    <row r="300" spans="1:22" x14ac:dyDescent="0.3">
      <c r="A300" s="6">
        <v>299</v>
      </c>
      <c r="B300" s="1" t="s">
        <v>21</v>
      </c>
      <c r="C300" s="1" t="s">
        <v>634</v>
      </c>
      <c r="D300" s="1" t="s">
        <v>638</v>
      </c>
      <c r="E300" s="1">
        <v>9700018592</v>
      </c>
      <c r="F300" s="8" t="s">
        <v>9</v>
      </c>
      <c r="G300" s="1" t="s">
        <v>636</v>
      </c>
      <c r="H300" s="1" t="s">
        <v>25</v>
      </c>
      <c r="I300" s="11">
        <v>46257</v>
      </c>
      <c r="J300" s="11">
        <v>46266</v>
      </c>
      <c r="K300" s="11">
        <v>46271</v>
      </c>
      <c r="L300" s="11">
        <v>46272</v>
      </c>
      <c r="M300" s="1" t="s">
        <v>26</v>
      </c>
      <c r="N300" s="6">
        <v>14</v>
      </c>
      <c r="O300" s="6">
        <v>14</v>
      </c>
      <c r="P300" s="12">
        <f t="shared" si="95"/>
        <v>46270</v>
      </c>
      <c r="Q300" s="12">
        <f t="shared" si="95"/>
        <v>46279</v>
      </c>
      <c r="R300" s="24">
        <f t="shared" si="96"/>
        <v>-4</v>
      </c>
      <c r="S300" s="25">
        <f t="shared" si="97"/>
        <v>-7</v>
      </c>
      <c r="T300" s="23" t="str">
        <f t="shared" si="98"/>
        <v>No</v>
      </c>
      <c r="U300" s="23"/>
      <c r="V300" s="1" t="s">
        <v>637</v>
      </c>
    </row>
    <row r="301" spans="1:22" x14ac:dyDescent="0.3">
      <c r="A301" s="6">
        <v>300</v>
      </c>
      <c r="B301" s="1" t="s">
        <v>21</v>
      </c>
      <c r="C301" s="1" t="s">
        <v>634</v>
      </c>
      <c r="D301" s="1" t="s">
        <v>639</v>
      </c>
      <c r="E301" s="1">
        <v>9700018592</v>
      </c>
      <c r="F301" s="8" t="s">
        <v>9</v>
      </c>
      <c r="G301" s="1" t="s">
        <v>636</v>
      </c>
      <c r="H301" s="1" t="s">
        <v>25</v>
      </c>
      <c r="I301" s="11">
        <v>46257</v>
      </c>
      <c r="J301" s="11">
        <v>46263</v>
      </c>
      <c r="K301" s="11">
        <v>46273</v>
      </c>
      <c r="L301" s="11">
        <v>46276</v>
      </c>
      <c r="M301" s="1" t="s">
        <v>26</v>
      </c>
      <c r="N301" s="6">
        <v>14</v>
      </c>
      <c r="O301" s="6">
        <v>14</v>
      </c>
      <c r="P301" s="12">
        <f t="shared" si="95"/>
        <v>46270</v>
      </c>
      <c r="Q301" s="12">
        <f t="shared" si="95"/>
        <v>46276</v>
      </c>
      <c r="R301" s="24">
        <f t="shared" si="96"/>
        <v>-7</v>
      </c>
      <c r="S301" s="25">
        <f t="shared" si="97"/>
        <v>0</v>
      </c>
      <c r="T301" s="23" t="str">
        <f t="shared" si="98"/>
        <v>No</v>
      </c>
      <c r="U301" s="23"/>
      <c r="V301" s="1" t="s">
        <v>637</v>
      </c>
    </row>
    <row r="302" spans="1:22" x14ac:dyDescent="0.3">
      <c r="A302" s="6">
        <v>301</v>
      </c>
      <c r="B302" s="1" t="s">
        <v>21</v>
      </c>
      <c r="C302" s="1" t="s">
        <v>634</v>
      </c>
      <c r="D302" s="1" t="s">
        <v>640</v>
      </c>
      <c r="E302" s="1">
        <v>9700018592</v>
      </c>
      <c r="F302" s="8" t="s">
        <v>9</v>
      </c>
      <c r="G302" s="1" t="s">
        <v>641</v>
      </c>
      <c r="H302" s="1" t="s">
        <v>25</v>
      </c>
      <c r="I302" s="11">
        <v>46257</v>
      </c>
      <c r="J302" s="11">
        <v>46263</v>
      </c>
      <c r="K302" s="11">
        <v>46268</v>
      </c>
      <c r="L302" s="11">
        <v>46268</v>
      </c>
      <c r="M302" s="1" t="s">
        <v>26</v>
      </c>
      <c r="N302" s="6">
        <v>14</v>
      </c>
      <c r="O302" s="6">
        <v>14</v>
      </c>
      <c r="P302" s="12">
        <f t="shared" si="95"/>
        <v>46270</v>
      </c>
      <c r="Q302" s="12">
        <f t="shared" si="95"/>
        <v>46276</v>
      </c>
      <c r="R302" s="24">
        <f t="shared" si="96"/>
        <v>-7</v>
      </c>
      <c r="S302" s="25">
        <f t="shared" si="97"/>
        <v>-8</v>
      </c>
      <c r="T302" s="23" t="str">
        <f t="shared" si="98"/>
        <v>No</v>
      </c>
      <c r="U302" s="23"/>
      <c r="V302" s="1" t="s">
        <v>637</v>
      </c>
    </row>
    <row r="303" spans="1:22" x14ac:dyDescent="0.3">
      <c r="A303" s="6">
        <v>302</v>
      </c>
      <c r="B303" s="1" t="s">
        <v>21</v>
      </c>
      <c r="C303" s="1" t="s">
        <v>634</v>
      </c>
      <c r="D303" s="1" t="s">
        <v>642</v>
      </c>
      <c r="E303" s="1">
        <v>9700018592</v>
      </c>
      <c r="F303" s="8" t="s">
        <v>9</v>
      </c>
      <c r="G303" s="1" t="s">
        <v>641</v>
      </c>
      <c r="H303" s="1" t="s">
        <v>25</v>
      </c>
      <c r="I303" s="11">
        <v>46257</v>
      </c>
      <c r="J303" s="11">
        <v>46263</v>
      </c>
      <c r="K303" s="11">
        <v>46268</v>
      </c>
      <c r="L303" s="11">
        <v>46268</v>
      </c>
      <c r="M303" s="1" t="s">
        <v>26</v>
      </c>
      <c r="N303" s="6">
        <v>14</v>
      </c>
      <c r="O303" s="6">
        <v>14</v>
      </c>
      <c r="P303" s="12">
        <f t="shared" si="95"/>
        <v>46270</v>
      </c>
      <c r="Q303" s="12">
        <f t="shared" si="95"/>
        <v>46276</v>
      </c>
      <c r="R303" s="24">
        <f t="shared" si="96"/>
        <v>-7</v>
      </c>
      <c r="S303" s="25">
        <f t="shared" si="97"/>
        <v>-8</v>
      </c>
      <c r="T303" s="23" t="str">
        <f t="shared" si="98"/>
        <v>No</v>
      </c>
      <c r="U303" s="23"/>
      <c r="V303" s="1" t="s">
        <v>637</v>
      </c>
    </row>
    <row r="304" spans="1:22" x14ac:dyDescent="0.3">
      <c r="A304" s="6">
        <v>303</v>
      </c>
      <c r="B304" s="1" t="s">
        <v>21</v>
      </c>
      <c r="C304" s="1" t="s">
        <v>634</v>
      </c>
      <c r="D304" s="1" t="s">
        <v>643</v>
      </c>
      <c r="E304" s="1">
        <v>9700018592</v>
      </c>
      <c r="F304" s="8" t="s">
        <v>9</v>
      </c>
      <c r="G304" s="1" t="s">
        <v>644</v>
      </c>
      <c r="H304" s="1" t="s">
        <v>25</v>
      </c>
      <c r="I304" s="11">
        <v>46257</v>
      </c>
      <c r="J304" s="11">
        <v>46263</v>
      </c>
      <c r="K304" s="11">
        <v>46272</v>
      </c>
      <c r="L304" s="11">
        <v>46273</v>
      </c>
      <c r="M304" s="1" t="s">
        <v>26</v>
      </c>
      <c r="N304" s="6">
        <v>14</v>
      </c>
      <c r="O304" s="6">
        <v>14</v>
      </c>
      <c r="P304" s="12">
        <f t="shared" si="95"/>
        <v>46270</v>
      </c>
      <c r="Q304" s="12">
        <f t="shared" si="95"/>
        <v>46276</v>
      </c>
      <c r="R304" s="24">
        <f t="shared" si="96"/>
        <v>-7</v>
      </c>
      <c r="S304" s="25">
        <f t="shared" si="97"/>
        <v>-3</v>
      </c>
      <c r="T304" s="23" t="str">
        <f t="shared" si="98"/>
        <v>No</v>
      </c>
      <c r="U304" s="23"/>
      <c r="V304" s="1" t="s">
        <v>637</v>
      </c>
    </row>
    <row r="305" spans="1:22" x14ac:dyDescent="0.3">
      <c r="A305" s="6">
        <v>304</v>
      </c>
      <c r="B305" s="1" t="s">
        <v>21</v>
      </c>
      <c r="C305" s="1" t="s">
        <v>634</v>
      </c>
      <c r="D305" s="1" t="s">
        <v>645</v>
      </c>
      <c r="E305" s="1">
        <v>9700018592</v>
      </c>
      <c r="F305" s="8" t="s">
        <v>9</v>
      </c>
      <c r="G305" s="1" t="s">
        <v>646</v>
      </c>
      <c r="H305" s="1" t="s">
        <v>25</v>
      </c>
      <c r="I305" s="11">
        <v>46257</v>
      </c>
      <c r="J305" s="11">
        <v>46262</v>
      </c>
      <c r="K305" s="11">
        <v>46267</v>
      </c>
      <c r="L305" s="11">
        <v>46268</v>
      </c>
      <c r="M305" s="1" t="s">
        <v>26</v>
      </c>
      <c r="N305" s="6">
        <v>14</v>
      </c>
      <c r="O305" s="6">
        <v>14</v>
      </c>
      <c r="P305" s="12">
        <f t="shared" si="95"/>
        <v>46270</v>
      </c>
      <c r="Q305" s="12">
        <f t="shared" si="95"/>
        <v>46275</v>
      </c>
      <c r="R305" s="24">
        <f t="shared" si="96"/>
        <v>-8</v>
      </c>
      <c r="S305" s="25">
        <f t="shared" si="97"/>
        <v>-7</v>
      </c>
      <c r="T305" s="23" t="str">
        <f t="shared" si="98"/>
        <v>No</v>
      </c>
      <c r="U305" s="23"/>
      <c r="V305" s="1" t="s">
        <v>637</v>
      </c>
    </row>
    <row r="306" spans="1:22" x14ac:dyDescent="0.3">
      <c r="A306" s="6">
        <v>305</v>
      </c>
      <c r="B306" s="1" t="s">
        <v>21</v>
      </c>
      <c r="C306" s="1" t="s">
        <v>634</v>
      </c>
      <c r="D306" s="1" t="s">
        <v>647</v>
      </c>
      <c r="E306" s="1">
        <v>9700018592</v>
      </c>
      <c r="F306" s="8" t="s">
        <v>9</v>
      </c>
      <c r="G306" s="1" t="s">
        <v>646</v>
      </c>
      <c r="H306" s="1" t="s">
        <v>25</v>
      </c>
      <c r="I306" s="11">
        <v>46257</v>
      </c>
      <c r="J306" s="11">
        <v>46262</v>
      </c>
      <c r="K306" s="11">
        <v>46268</v>
      </c>
      <c r="L306" s="11">
        <v>46269</v>
      </c>
      <c r="M306" s="1" t="s">
        <v>26</v>
      </c>
      <c r="N306" s="6">
        <v>14</v>
      </c>
      <c r="O306" s="6">
        <v>14</v>
      </c>
      <c r="P306" s="12">
        <f t="shared" si="95"/>
        <v>46270</v>
      </c>
      <c r="Q306" s="12">
        <f t="shared" si="95"/>
        <v>46275</v>
      </c>
      <c r="R306" s="24">
        <f t="shared" si="96"/>
        <v>-8</v>
      </c>
      <c r="S306" s="25">
        <f t="shared" si="97"/>
        <v>-6</v>
      </c>
      <c r="T306" s="23" t="str">
        <f t="shared" si="98"/>
        <v>No</v>
      </c>
      <c r="U306" s="23"/>
      <c r="V306" s="1" t="s">
        <v>637</v>
      </c>
    </row>
    <row r="307" spans="1:22" x14ac:dyDescent="0.3">
      <c r="A307" s="6">
        <v>306</v>
      </c>
      <c r="B307" s="1" t="s">
        <v>21</v>
      </c>
      <c r="C307" s="1" t="s">
        <v>634</v>
      </c>
      <c r="D307" s="1" t="s">
        <v>648</v>
      </c>
      <c r="E307" s="1">
        <v>9700018592</v>
      </c>
      <c r="F307" s="8" t="s">
        <v>9</v>
      </c>
      <c r="G307" s="1" t="s">
        <v>646</v>
      </c>
      <c r="H307" s="1" t="s">
        <v>25</v>
      </c>
      <c r="I307" s="11">
        <v>46257</v>
      </c>
      <c r="J307" s="11">
        <v>46263</v>
      </c>
      <c r="K307" s="11">
        <v>46269</v>
      </c>
      <c r="L307" s="11">
        <v>46269</v>
      </c>
      <c r="M307" s="1" t="s">
        <v>26</v>
      </c>
      <c r="N307" s="6">
        <v>14</v>
      </c>
      <c r="O307" s="6">
        <v>14</v>
      </c>
      <c r="P307" s="12">
        <f t="shared" si="95"/>
        <v>46270</v>
      </c>
      <c r="Q307" s="12">
        <f t="shared" si="95"/>
        <v>46276</v>
      </c>
      <c r="R307" s="24">
        <f t="shared" si="96"/>
        <v>-7</v>
      </c>
      <c r="S307" s="25">
        <f t="shared" si="97"/>
        <v>-7</v>
      </c>
      <c r="T307" s="23" t="str">
        <f t="shared" si="98"/>
        <v>No</v>
      </c>
      <c r="U307" s="23"/>
      <c r="V307" s="1" t="s">
        <v>637</v>
      </c>
    </row>
    <row r="308" spans="1:22" x14ac:dyDescent="0.3">
      <c r="A308" s="6">
        <v>307</v>
      </c>
      <c r="B308" s="1" t="s">
        <v>21</v>
      </c>
      <c r="C308" s="1" t="s">
        <v>634</v>
      </c>
      <c r="D308" s="1" t="s">
        <v>649</v>
      </c>
      <c r="E308" s="1">
        <v>9700018592</v>
      </c>
      <c r="F308" s="8" t="s">
        <v>9</v>
      </c>
      <c r="G308" s="1" t="s">
        <v>650</v>
      </c>
      <c r="H308" s="1" t="s">
        <v>25</v>
      </c>
      <c r="I308" s="11">
        <v>46257</v>
      </c>
      <c r="J308" s="11">
        <v>46263</v>
      </c>
      <c r="K308" s="11">
        <v>46272</v>
      </c>
      <c r="L308" s="11">
        <v>46275</v>
      </c>
      <c r="M308" s="1" t="s">
        <v>26</v>
      </c>
      <c r="N308" s="6">
        <v>14</v>
      </c>
      <c r="O308" s="6">
        <v>14</v>
      </c>
      <c r="P308" s="12">
        <f t="shared" si="95"/>
        <v>46270</v>
      </c>
      <c r="Q308" s="12">
        <f t="shared" si="95"/>
        <v>46276</v>
      </c>
      <c r="R308" s="24">
        <f t="shared" si="96"/>
        <v>-7</v>
      </c>
      <c r="S308" s="25">
        <f t="shared" si="97"/>
        <v>-1</v>
      </c>
      <c r="T308" s="23" t="str">
        <f t="shared" si="98"/>
        <v>No</v>
      </c>
      <c r="U308" s="23"/>
      <c r="V308" s="1" t="s">
        <v>637</v>
      </c>
    </row>
    <row r="309" spans="1:22" x14ac:dyDescent="0.3">
      <c r="A309" s="6">
        <v>308</v>
      </c>
      <c r="B309" s="1" t="s">
        <v>21</v>
      </c>
      <c r="C309" s="1" t="s">
        <v>634</v>
      </c>
      <c r="D309" s="1" t="s">
        <v>651</v>
      </c>
      <c r="E309" s="1">
        <v>9700018592</v>
      </c>
      <c r="F309" s="8" t="s">
        <v>9</v>
      </c>
      <c r="G309" s="1" t="s">
        <v>650</v>
      </c>
      <c r="H309" s="1" t="s">
        <v>25</v>
      </c>
      <c r="I309" s="11">
        <v>46257</v>
      </c>
      <c r="J309" s="11">
        <v>46263</v>
      </c>
      <c r="K309" s="11">
        <v>46271</v>
      </c>
      <c r="L309" s="11">
        <v>46272</v>
      </c>
      <c r="M309" s="1" t="s">
        <v>26</v>
      </c>
      <c r="N309" s="6">
        <v>14</v>
      </c>
      <c r="O309" s="6">
        <v>14</v>
      </c>
      <c r="P309" s="12">
        <f t="shared" si="95"/>
        <v>46270</v>
      </c>
      <c r="Q309" s="12">
        <f t="shared" si="95"/>
        <v>46276</v>
      </c>
      <c r="R309" s="24">
        <f t="shared" si="96"/>
        <v>-7</v>
      </c>
      <c r="S309" s="25">
        <f t="shared" si="97"/>
        <v>-4</v>
      </c>
      <c r="T309" s="23" t="str">
        <f t="shared" si="98"/>
        <v>No</v>
      </c>
      <c r="U309" s="23"/>
      <c r="V309" s="1" t="s">
        <v>637</v>
      </c>
    </row>
    <row r="310" spans="1:22" x14ac:dyDescent="0.3">
      <c r="A310" s="6">
        <v>309</v>
      </c>
      <c r="B310" s="1" t="s">
        <v>21</v>
      </c>
      <c r="C310" s="1" t="s">
        <v>652</v>
      </c>
      <c r="D310" s="1" t="s">
        <v>653</v>
      </c>
      <c r="E310" s="1">
        <v>9700018639</v>
      </c>
      <c r="F310" s="8" t="s">
        <v>9</v>
      </c>
      <c r="G310" s="1" t="s">
        <v>646</v>
      </c>
      <c r="H310" s="1" t="s">
        <v>25</v>
      </c>
      <c r="I310" s="11">
        <v>46260</v>
      </c>
      <c r="J310" s="11">
        <v>46269</v>
      </c>
      <c r="K310" s="11">
        <v>46274</v>
      </c>
      <c r="L310" s="11">
        <v>46274</v>
      </c>
      <c r="M310" s="1" t="s">
        <v>26</v>
      </c>
      <c r="N310" s="6">
        <v>14</v>
      </c>
      <c r="O310" s="6">
        <v>14</v>
      </c>
      <c r="P310" s="12">
        <f t="shared" si="95"/>
        <v>46273</v>
      </c>
      <c r="Q310" s="12">
        <f t="shared" si="95"/>
        <v>46282</v>
      </c>
      <c r="R310" s="24">
        <f t="shared" si="96"/>
        <v>-4</v>
      </c>
      <c r="S310" s="25">
        <f t="shared" si="97"/>
        <v>-8</v>
      </c>
      <c r="T310" s="23" t="str">
        <f t="shared" si="98"/>
        <v>No</v>
      </c>
      <c r="U310" s="23"/>
      <c r="V310" s="1" t="s">
        <v>654</v>
      </c>
    </row>
    <row r="311" spans="1:22" x14ac:dyDescent="0.3">
      <c r="A311" s="6">
        <v>310</v>
      </c>
      <c r="B311" s="1" t="s">
        <v>21</v>
      </c>
      <c r="C311" s="1" t="s">
        <v>652</v>
      </c>
      <c r="D311" s="1" t="s">
        <v>655</v>
      </c>
      <c r="E311" s="1">
        <v>9700018639</v>
      </c>
      <c r="F311" s="8" t="s">
        <v>9</v>
      </c>
      <c r="G311" s="1" t="s">
        <v>650</v>
      </c>
      <c r="H311" s="1" t="s">
        <v>25</v>
      </c>
      <c r="I311" s="11">
        <v>46260</v>
      </c>
      <c r="J311" s="11">
        <v>46269</v>
      </c>
      <c r="K311" s="11">
        <v>46276</v>
      </c>
      <c r="L311" s="11">
        <v>46277</v>
      </c>
      <c r="M311" s="1" t="s">
        <v>26</v>
      </c>
      <c r="N311" s="6">
        <v>14</v>
      </c>
      <c r="O311" s="6">
        <v>14</v>
      </c>
      <c r="P311" s="12">
        <f t="shared" si="95"/>
        <v>46273</v>
      </c>
      <c r="Q311" s="12">
        <f t="shared" si="95"/>
        <v>46282</v>
      </c>
      <c r="R311" s="24">
        <f t="shared" si="96"/>
        <v>-4</v>
      </c>
      <c r="S311" s="25">
        <f t="shared" si="97"/>
        <v>-5</v>
      </c>
      <c r="T311" s="23" t="str">
        <f t="shared" si="98"/>
        <v>No</v>
      </c>
      <c r="U311" s="23"/>
      <c r="V311" s="1" t="s">
        <v>654</v>
      </c>
    </row>
    <row r="312" spans="1:22" x14ac:dyDescent="0.3">
      <c r="A312" s="6">
        <v>311</v>
      </c>
      <c r="B312" s="1" t="s">
        <v>21</v>
      </c>
      <c r="C312" s="1" t="s">
        <v>652</v>
      </c>
      <c r="D312" s="1" t="s">
        <v>656</v>
      </c>
      <c r="E312" s="1">
        <v>9700018639</v>
      </c>
      <c r="F312" s="8" t="s">
        <v>9</v>
      </c>
      <c r="G312" s="1" t="s">
        <v>650</v>
      </c>
      <c r="H312" s="1" t="s">
        <v>25</v>
      </c>
      <c r="I312" s="11">
        <v>46259</v>
      </c>
      <c r="J312" s="11">
        <v>46268</v>
      </c>
      <c r="K312" s="11">
        <v>46274</v>
      </c>
      <c r="L312" s="11">
        <v>46275</v>
      </c>
      <c r="M312" s="1" t="s">
        <v>26</v>
      </c>
      <c r="N312" s="6">
        <v>14</v>
      </c>
      <c r="O312" s="6">
        <v>14</v>
      </c>
      <c r="P312" s="12">
        <f t="shared" si="95"/>
        <v>46272</v>
      </c>
      <c r="Q312" s="12">
        <f t="shared" si="95"/>
        <v>46281</v>
      </c>
      <c r="R312" s="24">
        <f t="shared" si="96"/>
        <v>-4</v>
      </c>
      <c r="S312" s="25">
        <f t="shared" si="97"/>
        <v>-6</v>
      </c>
      <c r="T312" s="23" t="str">
        <f t="shared" si="98"/>
        <v>No</v>
      </c>
      <c r="U312" s="23"/>
      <c r="V312" s="1" t="s">
        <v>654</v>
      </c>
    </row>
    <row r="313" spans="1:22" x14ac:dyDescent="0.3">
      <c r="A313" s="6">
        <v>312</v>
      </c>
      <c r="B313" s="1" t="s">
        <v>21</v>
      </c>
      <c r="C313" s="1" t="s">
        <v>652</v>
      </c>
      <c r="D313" s="1" t="s">
        <v>657</v>
      </c>
      <c r="E313" s="1">
        <v>9700018639</v>
      </c>
      <c r="F313" s="8" t="s">
        <v>9</v>
      </c>
      <c r="G313" s="1" t="s">
        <v>650</v>
      </c>
      <c r="H313" s="1" t="s">
        <v>25</v>
      </c>
      <c r="I313" s="11">
        <v>46260</v>
      </c>
      <c r="J313" s="11">
        <v>46268</v>
      </c>
      <c r="K313" s="11">
        <v>46276</v>
      </c>
      <c r="L313" s="11">
        <v>46277</v>
      </c>
      <c r="M313" s="1" t="s">
        <v>26</v>
      </c>
      <c r="N313" s="6">
        <v>14</v>
      </c>
      <c r="O313" s="6">
        <v>14</v>
      </c>
      <c r="P313" s="12">
        <f t="shared" si="95"/>
        <v>46273</v>
      </c>
      <c r="Q313" s="12">
        <f t="shared" si="95"/>
        <v>46281</v>
      </c>
      <c r="R313" s="24">
        <f t="shared" si="96"/>
        <v>-5</v>
      </c>
      <c r="S313" s="25">
        <f t="shared" si="97"/>
        <v>-4</v>
      </c>
      <c r="T313" s="23" t="str">
        <f t="shared" si="98"/>
        <v>No</v>
      </c>
      <c r="U313" s="23"/>
      <c r="V313" s="1" t="s">
        <v>654</v>
      </c>
    </row>
    <row r="314" spans="1:22" x14ac:dyDescent="0.3">
      <c r="A314" s="6">
        <v>313</v>
      </c>
      <c r="B314" s="1" t="s">
        <v>21</v>
      </c>
      <c r="C314" s="1" t="s">
        <v>652</v>
      </c>
      <c r="D314" s="1" t="s">
        <v>658</v>
      </c>
      <c r="E314" s="1">
        <v>9700018639</v>
      </c>
      <c r="F314" s="8" t="s">
        <v>9</v>
      </c>
      <c r="G314" s="1" t="s">
        <v>659</v>
      </c>
      <c r="H314" s="1" t="s">
        <v>25</v>
      </c>
      <c r="I314" s="11">
        <v>46260</v>
      </c>
      <c r="J314" s="11">
        <v>46269</v>
      </c>
      <c r="K314" s="11">
        <v>46275</v>
      </c>
      <c r="L314" s="11">
        <v>46275</v>
      </c>
      <c r="M314" s="1" t="s">
        <v>26</v>
      </c>
      <c r="N314" s="6">
        <v>14</v>
      </c>
      <c r="O314" s="6">
        <v>14</v>
      </c>
      <c r="P314" s="12">
        <f t="shared" si="95"/>
        <v>46273</v>
      </c>
      <c r="Q314" s="12">
        <f t="shared" si="95"/>
        <v>46282</v>
      </c>
      <c r="R314" s="24">
        <f t="shared" si="96"/>
        <v>-4</v>
      </c>
      <c r="S314" s="25">
        <f t="shared" si="97"/>
        <v>-7</v>
      </c>
      <c r="T314" s="23" t="str">
        <f t="shared" si="98"/>
        <v>No</v>
      </c>
      <c r="U314" s="23"/>
      <c r="V314" s="1" t="s">
        <v>654</v>
      </c>
    </row>
    <row r="315" spans="1:22" x14ac:dyDescent="0.3">
      <c r="A315" s="6">
        <v>314</v>
      </c>
      <c r="B315" s="1" t="s">
        <v>21</v>
      </c>
      <c r="C315" s="1" t="s">
        <v>652</v>
      </c>
      <c r="D315" s="1" t="s">
        <v>660</v>
      </c>
      <c r="E315" s="1">
        <v>9700018639</v>
      </c>
      <c r="F315" s="8" t="s">
        <v>9</v>
      </c>
      <c r="G315" s="1" t="s">
        <v>661</v>
      </c>
      <c r="H315" s="1" t="s">
        <v>25</v>
      </c>
      <c r="I315" s="11">
        <v>46260</v>
      </c>
      <c r="J315" s="11">
        <v>46268</v>
      </c>
      <c r="K315" s="11">
        <v>46275</v>
      </c>
      <c r="L315" s="11">
        <v>46276</v>
      </c>
      <c r="M315" s="1" t="s">
        <v>26</v>
      </c>
      <c r="N315" s="6">
        <v>14</v>
      </c>
      <c r="O315" s="6">
        <v>14</v>
      </c>
      <c r="P315" s="12">
        <f t="shared" si="95"/>
        <v>46273</v>
      </c>
      <c r="Q315" s="12">
        <f t="shared" si="95"/>
        <v>46281</v>
      </c>
      <c r="R315" s="24">
        <f t="shared" si="96"/>
        <v>-5</v>
      </c>
      <c r="S315" s="25">
        <f t="shared" si="97"/>
        <v>-5</v>
      </c>
      <c r="T315" s="23" t="str">
        <f t="shared" si="98"/>
        <v>No</v>
      </c>
      <c r="U315" s="23"/>
      <c r="V315" s="1" t="s">
        <v>654</v>
      </c>
    </row>
    <row r="316" spans="1:22" x14ac:dyDescent="0.3">
      <c r="A316" s="6">
        <v>315</v>
      </c>
      <c r="B316" s="1" t="s">
        <v>21</v>
      </c>
      <c r="C316" s="1" t="s">
        <v>625</v>
      </c>
      <c r="D316" s="1" t="s">
        <v>662</v>
      </c>
      <c r="E316" s="1">
        <v>9700018722</v>
      </c>
      <c r="F316" s="8" t="s">
        <v>9</v>
      </c>
      <c r="G316" s="1" t="s">
        <v>659</v>
      </c>
      <c r="H316" s="1" t="s">
        <v>25</v>
      </c>
      <c r="I316" s="11">
        <v>46261</v>
      </c>
      <c r="J316" s="11">
        <v>46261</v>
      </c>
      <c r="K316" s="11">
        <v>46261</v>
      </c>
      <c r="L316" s="11">
        <v>46261</v>
      </c>
      <c r="M316" s="1" t="s">
        <v>627</v>
      </c>
      <c r="N316" s="6">
        <v>3</v>
      </c>
      <c r="O316" s="6">
        <v>3</v>
      </c>
      <c r="P316" s="12">
        <f t="shared" si="95"/>
        <v>46263</v>
      </c>
      <c r="Q316" s="12">
        <f t="shared" si="95"/>
        <v>46263</v>
      </c>
      <c r="R316" s="24">
        <f t="shared" si="96"/>
        <v>-2</v>
      </c>
      <c r="S316" s="25">
        <f t="shared" si="97"/>
        <v>-2</v>
      </c>
      <c r="T316" s="23" t="str">
        <f t="shared" si="98"/>
        <v>No</v>
      </c>
      <c r="U316" s="23"/>
      <c r="V316" s="1"/>
    </row>
    <row r="317" spans="1:22" x14ac:dyDescent="0.3">
      <c r="A317" s="6">
        <v>316</v>
      </c>
      <c r="B317" s="1" t="s">
        <v>21</v>
      </c>
      <c r="C317" s="1" t="s">
        <v>663</v>
      </c>
      <c r="D317" s="1" t="s">
        <v>664</v>
      </c>
      <c r="E317" s="1">
        <v>9700018723</v>
      </c>
      <c r="F317" s="8" t="s">
        <v>9</v>
      </c>
      <c r="G317" s="1" t="s">
        <v>659</v>
      </c>
      <c r="H317" s="1" t="s">
        <v>25</v>
      </c>
      <c r="I317" s="11">
        <v>46262</v>
      </c>
      <c r="J317" s="11">
        <v>46262</v>
      </c>
      <c r="K317" s="11">
        <v>46262</v>
      </c>
      <c r="L317" s="11">
        <v>46262</v>
      </c>
      <c r="M317" s="1" t="s">
        <v>627</v>
      </c>
      <c r="N317" s="6"/>
      <c r="O317" s="6"/>
      <c r="P317" s="12">
        <f t="shared" si="95"/>
        <v>46261</v>
      </c>
      <c r="Q317" s="12">
        <f t="shared" si="95"/>
        <v>46261</v>
      </c>
      <c r="R317" s="24">
        <f t="shared" si="96"/>
        <v>1</v>
      </c>
      <c r="S317" s="25">
        <f t="shared" si="97"/>
        <v>1</v>
      </c>
      <c r="T317" s="23" t="str">
        <f t="shared" si="98"/>
        <v>To Paid</v>
      </c>
      <c r="U317" s="23"/>
      <c r="V317" s="1"/>
    </row>
    <row r="318" spans="1:22" x14ac:dyDescent="0.3">
      <c r="A318" s="6">
        <v>317</v>
      </c>
      <c r="B318" s="1" t="s">
        <v>28</v>
      </c>
      <c r="C318" s="1" t="s">
        <v>665</v>
      </c>
      <c r="D318" s="1" t="s">
        <v>666</v>
      </c>
      <c r="E318" s="1">
        <v>1510003374</v>
      </c>
      <c r="F318" s="8" t="s">
        <v>9</v>
      </c>
      <c r="G318" s="1" t="s">
        <v>667</v>
      </c>
      <c r="H318" s="1" t="s">
        <v>132</v>
      </c>
      <c r="I318" s="11">
        <v>46277</v>
      </c>
      <c r="J318" s="11">
        <v>46287</v>
      </c>
      <c r="K318" s="11">
        <v>46290</v>
      </c>
      <c r="L318" s="11">
        <v>46293</v>
      </c>
      <c r="M318" s="1" t="s">
        <v>32</v>
      </c>
      <c r="N318" s="6"/>
      <c r="O318" s="6"/>
      <c r="P318" s="12">
        <f t="shared" si="95"/>
        <v>46276</v>
      </c>
      <c r="Q318" s="12">
        <f t="shared" si="95"/>
        <v>46286</v>
      </c>
      <c r="R318" s="24">
        <f t="shared" si="96"/>
        <v>11</v>
      </c>
      <c r="S318" s="25">
        <f t="shared" si="97"/>
        <v>7</v>
      </c>
      <c r="T318" s="23" t="str">
        <f t="shared" si="98"/>
        <v>To Paid</v>
      </c>
      <c r="U318" s="23"/>
      <c r="V318" s="1" t="s">
        <v>668</v>
      </c>
    </row>
    <row r="319" spans="1:22" x14ac:dyDescent="0.3">
      <c r="A319" s="6">
        <v>318</v>
      </c>
      <c r="B319" s="1" t="s">
        <v>28</v>
      </c>
      <c r="C319" s="1" t="s">
        <v>669</v>
      </c>
      <c r="D319" s="1" t="s">
        <v>670</v>
      </c>
      <c r="E319" s="1">
        <v>1510003234</v>
      </c>
      <c r="F319" s="8" t="s">
        <v>9</v>
      </c>
      <c r="G319" s="1" t="s">
        <v>671</v>
      </c>
      <c r="H319" s="1" t="s">
        <v>25</v>
      </c>
      <c r="I319" s="11">
        <v>46277</v>
      </c>
      <c r="J319" s="11">
        <v>46288</v>
      </c>
      <c r="K319" s="11">
        <v>46289</v>
      </c>
      <c r="L319" s="11">
        <v>46293</v>
      </c>
      <c r="M319" s="1" t="s">
        <v>32</v>
      </c>
      <c r="N319" s="6"/>
      <c r="O319" s="6"/>
      <c r="P319" s="12">
        <f t="shared" si="95"/>
        <v>46276</v>
      </c>
      <c r="Q319" s="12">
        <f t="shared" si="95"/>
        <v>46287</v>
      </c>
      <c r="R319" s="24">
        <f t="shared" si="96"/>
        <v>12</v>
      </c>
      <c r="S319" s="25">
        <f t="shared" si="97"/>
        <v>6</v>
      </c>
      <c r="T319" s="23" t="str">
        <f t="shared" si="98"/>
        <v>To Paid</v>
      </c>
      <c r="U319" s="23"/>
      <c r="V319" s="1"/>
    </row>
    <row r="320" spans="1:22" x14ac:dyDescent="0.3">
      <c r="A320" s="6">
        <v>319</v>
      </c>
      <c r="B320" s="1" t="s">
        <v>28</v>
      </c>
      <c r="C320" s="1" t="s">
        <v>669</v>
      </c>
      <c r="D320" s="1" t="s">
        <v>672</v>
      </c>
      <c r="E320" s="1">
        <v>1510003234</v>
      </c>
      <c r="F320" s="8" t="s">
        <v>9</v>
      </c>
      <c r="G320" s="1" t="s">
        <v>671</v>
      </c>
      <c r="H320" s="1" t="s">
        <v>25</v>
      </c>
      <c r="I320" s="11">
        <v>46277</v>
      </c>
      <c r="J320" s="11">
        <v>46289</v>
      </c>
      <c r="K320" s="11">
        <v>46289</v>
      </c>
      <c r="L320" s="11">
        <v>46290</v>
      </c>
      <c r="M320" s="1" t="s">
        <v>32</v>
      </c>
      <c r="N320" s="6"/>
      <c r="O320" s="6"/>
      <c r="P320" s="12">
        <f t="shared" si="95"/>
        <v>46276</v>
      </c>
      <c r="Q320" s="12">
        <f t="shared" si="95"/>
        <v>46288</v>
      </c>
      <c r="R320" s="24">
        <f t="shared" si="96"/>
        <v>13</v>
      </c>
      <c r="S320" s="25">
        <f t="shared" si="97"/>
        <v>2</v>
      </c>
      <c r="T320" s="23" t="str">
        <f t="shared" si="98"/>
        <v>To Paid</v>
      </c>
      <c r="U320" s="23"/>
      <c r="V320" s="1"/>
    </row>
    <row r="321" spans="1:22" x14ac:dyDescent="0.3">
      <c r="A321" s="6">
        <v>320</v>
      </c>
      <c r="B321" s="1" t="s">
        <v>28</v>
      </c>
      <c r="C321" s="1" t="s">
        <v>673</v>
      </c>
      <c r="D321" s="1" t="s">
        <v>674</v>
      </c>
      <c r="E321" s="37">
        <v>1510003233</v>
      </c>
      <c r="F321" s="8" t="s">
        <v>9</v>
      </c>
      <c r="G321" s="1" t="s">
        <v>675</v>
      </c>
      <c r="H321" s="1" t="s">
        <v>132</v>
      </c>
      <c r="I321" s="11">
        <v>46275</v>
      </c>
      <c r="J321" s="11">
        <v>46287</v>
      </c>
      <c r="K321" s="11">
        <v>46289</v>
      </c>
      <c r="L321" s="11">
        <v>46295</v>
      </c>
      <c r="M321" s="1" t="s">
        <v>32</v>
      </c>
      <c r="N321" s="6"/>
      <c r="O321" s="6"/>
      <c r="P321" s="12">
        <f t="shared" si="95"/>
        <v>46274</v>
      </c>
      <c r="Q321" s="12">
        <f t="shared" si="95"/>
        <v>46286</v>
      </c>
      <c r="R321" s="24">
        <f t="shared" si="96"/>
        <v>13</v>
      </c>
      <c r="S321" s="25">
        <f t="shared" si="97"/>
        <v>9</v>
      </c>
      <c r="T321" s="23" t="str">
        <f t="shared" si="98"/>
        <v>To Paid</v>
      </c>
      <c r="U321" s="23"/>
      <c r="V321" s="1" t="s">
        <v>676</v>
      </c>
    </row>
    <row r="322" spans="1:22" x14ac:dyDescent="0.3">
      <c r="A322" s="6">
        <v>321</v>
      </c>
      <c r="B322" s="1" t="s">
        <v>28</v>
      </c>
      <c r="C322" s="1" t="s">
        <v>677</v>
      </c>
      <c r="D322" s="1" t="s">
        <v>678</v>
      </c>
      <c r="E322" s="1">
        <v>1510003235</v>
      </c>
      <c r="F322" s="8" t="s">
        <v>9</v>
      </c>
      <c r="G322" s="1" t="s">
        <v>671</v>
      </c>
      <c r="H322" s="1" t="s">
        <v>25</v>
      </c>
      <c r="I322" s="11">
        <v>46281</v>
      </c>
      <c r="J322" s="11">
        <v>46289</v>
      </c>
      <c r="K322" s="11">
        <v>46293</v>
      </c>
      <c r="L322" s="11">
        <v>46295</v>
      </c>
      <c r="M322" s="1" t="s">
        <v>32</v>
      </c>
      <c r="N322" s="6">
        <v>9</v>
      </c>
      <c r="O322" s="6">
        <v>6</v>
      </c>
      <c r="P322" s="12">
        <f t="shared" si="95"/>
        <v>46289</v>
      </c>
      <c r="Q322" s="12">
        <f t="shared" si="95"/>
        <v>46294</v>
      </c>
      <c r="R322" s="24">
        <f t="shared" si="96"/>
        <v>0</v>
      </c>
      <c r="S322" s="25">
        <f t="shared" si="97"/>
        <v>1</v>
      </c>
      <c r="T322" s="23" t="str">
        <f t="shared" si="98"/>
        <v>No</v>
      </c>
      <c r="U322" s="23"/>
      <c r="V322" s="1" t="s">
        <v>679</v>
      </c>
    </row>
    <row r="323" spans="1:22" x14ac:dyDescent="0.3">
      <c r="A323" s="6">
        <v>322</v>
      </c>
      <c r="B323" s="1" t="s">
        <v>28</v>
      </c>
      <c r="C323" s="1" t="s">
        <v>677</v>
      </c>
      <c r="D323" s="1" t="s">
        <v>680</v>
      </c>
      <c r="E323" s="1">
        <v>1510003235</v>
      </c>
      <c r="F323" s="8" t="s">
        <v>9</v>
      </c>
      <c r="G323" s="1" t="s">
        <v>671</v>
      </c>
      <c r="H323" s="1" t="s">
        <v>25</v>
      </c>
      <c r="I323" s="11">
        <v>46281</v>
      </c>
      <c r="J323" s="11">
        <v>46289</v>
      </c>
      <c r="K323" s="11">
        <v>46300</v>
      </c>
      <c r="L323" s="11">
        <v>46301</v>
      </c>
      <c r="M323" s="1" t="s">
        <v>32</v>
      </c>
      <c r="N323" s="6">
        <v>9</v>
      </c>
      <c r="O323" s="6">
        <v>6</v>
      </c>
      <c r="P323" s="12">
        <f t="shared" si="95"/>
        <v>46289</v>
      </c>
      <c r="Q323" s="12">
        <f t="shared" si="95"/>
        <v>46294</v>
      </c>
      <c r="R323" s="24">
        <f t="shared" si="96"/>
        <v>0</v>
      </c>
      <c r="S323" s="25">
        <f t="shared" si="97"/>
        <v>7</v>
      </c>
      <c r="T323" s="23" t="str">
        <f t="shared" si="98"/>
        <v>No</v>
      </c>
      <c r="U323" s="23"/>
      <c r="V323" s="1" t="s">
        <v>681</v>
      </c>
    </row>
    <row r="324" spans="1:22" ht="28.8" x14ac:dyDescent="0.3">
      <c r="A324" s="6">
        <v>323</v>
      </c>
      <c r="B324" s="1" t="s">
        <v>115</v>
      </c>
      <c r="C324" s="1" t="s">
        <v>682</v>
      </c>
      <c r="D324" s="1" t="s">
        <v>683</v>
      </c>
      <c r="E324" s="1">
        <v>1510003532</v>
      </c>
      <c r="F324" s="8" t="s">
        <v>9</v>
      </c>
      <c r="G324" s="9" t="s">
        <v>684</v>
      </c>
      <c r="H324" s="1" t="s">
        <v>25</v>
      </c>
      <c r="I324" s="11">
        <v>46274</v>
      </c>
      <c r="J324" s="11">
        <v>46284</v>
      </c>
      <c r="K324" s="11">
        <v>46287</v>
      </c>
      <c r="L324" s="11">
        <v>46290</v>
      </c>
      <c r="M324" s="1" t="s">
        <v>32</v>
      </c>
      <c r="N324" s="6">
        <v>15</v>
      </c>
      <c r="O324" s="6">
        <v>20</v>
      </c>
      <c r="P324" s="12">
        <f t="shared" si="95"/>
        <v>46288</v>
      </c>
      <c r="Q324" s="12">
        <f t="shared" si="95"/>
        <v>46303</v>
      </c>
      <c r="R324" s="24">
        <f t="shared" si="96"/>
        <v>-4</v>
      </c>
      <c r="S324" s="25">
        <f t="shared" si="97"/>
        <v>-13</v>
      </c>
      <c r="T324" s="23" t="str">
        <f t="shared" si="98"/>
        <v>No</v>
      </c>
      <c r="U324" s="23"/>
      <c r="V324" s="1"/>
    </row>
    <row r="325" spans="1:22" ht="28.8" x14ac:dyDescent="0.3">
      <c r="A325" s="6">
        <v>324</v>
      </c>
      <c r="B325" s="1" t="s">
        <v>115</v>
      </c>
      <c r="C325" s="1" t="s">
        <v>685</v>
      </c>
      <c r="D325" s="1" t="s">
        <v>686</v>
      </c>
      <c r="E325" s="1">
        <v>1510003534</v>
      </c>
      <c r="F325" s="8" t="s">
        <v>9</v>
      </c>
      <c r="G325" s="9" t="s">
        <v>687</v>
      </c>
      <c r="H325" s="1" t="s">
        <v>25</v>
      </c>
      <c r="I325" s="11">
        <v>46274</v>
      </c>
      <c r="J325" s="11">
        <v>46286</v>
      </c>
      <c r="K325" s="11">
        <v>46288</v>
      </c>
      <c r="L325" s="11">
        <v>46289</v>
      </c>
      <c r="M325" s="1" t="s">
        <v>32</v>
      </c>
      <c r="N325" s="6">
        <v>15</v>
      </c>
      <c r="O325" s="6">
        <v>20</v>
      </c>
      <c r="P325" s="12">
        <f t="shared" si="95"/>
        <v>46288</v>
      </c>
      <c r="Q325" s="12">
        <f t="shared" si="95"/>
        <v>46305</v>
      </c>
      <c r="R325" s="24">
        <f t="shared" si="96"/>
        <v>-2</v>
      </c>
      <c r="S325" s="25">
        <f t="shared" si="97"/>
        <v>-16</v>
      </c>
      <c r="T325" s="23" t="str">
        <f t="shared" si="98"/>
        <v>No</v>
      </c>
      <c r="U325" s="23"/>
      <c r="V325" s="1" t="s">
        <v>688</v>
      </c>
    </row>
    <row r="326" spans="1:22" ht="28.8" x14ac:dyDescent="0.3">
      <c r="A326" s="6">
        <v>325</v>
      </c>
      <c r="B326" s="1" t="s">
        <v>115</v>
      </c>
      <c r="C326" s="1" t="s">
        <v>689</v>
      </c>
      <c r="D326" s="1" t="s">
        <v>690</v>
      </c>
      <c r="E326" s="1">
        <v>1510003136</v>
      </c>
      <c r="F326" s="8" t="s">
        <v>9</v>
      </c>
      <c r="G326" s="9" t="s">
        <v>691</v>
      </c>
      <c r="H326" s="1" t="s">
        <v>55</v>
      </c>
      <c r="I326" s="11">
        <v>46273</v>
      </c>
      <c r="J326" s="11">
        <v>46284</v>
      </c>
      <c r="K326" s="11">
        <v>46284</v>
      </c>
      <c r="L326" s="11">
        <v>46284</v>
      </c>
      <c r="M326" s="1" t="s">
        <v>32</v>
      </c>
      <c r="N326" s="6">
        <v>20</v>
      </c>
      <c r="O326" s="6">
        <v>15</v>
      </c>
      <c r="P326" s="12">
        <f t="shared" si="95"/>
        <v>46292</v>
      </c>
      <c r="Q326" s="12">
        <f t="shared" si="95"/>
        <v>46298</v>
      </c>
      <c r="R326" s="24">
        <f t="shared" si="96"/>
        <v>-8</v>
      </c>
      <c r="S326" s="25">
        <f t="shared" si="97"/>
        <v>-14</v>
      </c>
      <c r="T326" s="23" t="str">
        <f t="shared" si="98"/>
        <v>No</v>
      </c>
      <c r="U326" s="23"/>
      <c r="V326" s="1" t="s">
        <v>692</v>
      </c>
    </row>
    <row r="327" spans="1:22" ht="28.8" x14ac:dyDescent="0.3">
      <c r="A327" s="6">
        <v>326</v>
      </c>
      <c r="B327" s="1" t="s">
        <v>115</v>
      </c>
      <c r="C327" s="1" t="s">
        <v>693</v>
      </c>
      <c r="D327" s="1" t="s">
        <v>694</v>
      </c>
      <c r="E327" s="1">
        <v>1510003269</v>
      </c>
      <c r="F327" s="8" t="s">
        <v>9</v>
      </c>
      <c r="G327" s="9" t="s">
        <v>695</v>
      </c>
      <c r="H327" s="1" t="s">
        <v>49</v>
      </c>
      <c r="I327" s="11">
        <v>46274</v>
      </c>
      <c r="J327" s="11">
        <v>46284</v>
      </c>
      <c r="K327" s="11">
        <v>46285</v>
      </c>
      <c r="L327" s="11">
        <v>46287</v>
      </c>
      <c r="M327" s="1" t="s">
        <v>32</v>
      </c>
      <c r="N327" s="6">
        <v>15</v>
      </c>
      <c r="O327" s="6">
        <v>20</v>
      </c>
      <c r="P327" s="12">
        <f t="shared" si="95"/>
        <v>46288</v>
      </c>
      <c r="Q327" s="12">
        <f t="shared" si="95"/>
        <v>46303</v>
      </c>
      <c r="R327" s="24">
        <f t="shared" si="96"/>
        <v>-4</v>
      </c>
      <c r="S327" s="25">
        <f t="shared" si="97"/>
        <v>-16</v>
      </c>
      <c r="T327" s="23" t="str">
        <f t="shared" si="98"/>
        <v>No</v>
      </c>
      <c r="U327" s="23"/>
      <c r="V327" s="1" t="s">
        <v>696</v>
      </c>
    </row>
    <row r="328" spans="1:22" x14ac:dyDescent="0.3">
      <c r="A328" s="6">
        <v>327</v>
      </c>
      <c r="B328" s="1" t="s">
        <v>28</v>
      </c>
      <c r="C328" s="1" t="s">
        <v>697</v>
      </c>
      <c r="D328" s="1" t="s">
        <v>698</v>
      </c>
      <c r="E328" s="1">
        <v>1510003362</v>
      </c>
      <c r="F328" s="7" t="s">
        <v>699</v>
      </c>
      <c r="G328" s="1" t="s">
        <v>604</v>
      </c>
      <c r="H328" s="1" t="s">
        <v>25</v>
      </c>
      <c r="I328" s="11">
        <v>46305</v>
      </c>
      <c r="J328" s="11"/>
      <c r="K328" s="11"/>
      <c r="L328" s="11"/>
      <c r="M328" s="1" t="s">
        <v>32</v>
      </c>
      <c r="N328" s="6">
        <v>5</v>
      </c>
      <c r="O328" s="6">
        <v>15</v>
      </c>
      <c r="P328" s="12">
        <f t="shared" si="95"/>
        <v>46309</v>
      </c>
      <c r="Q328" s="12">
        <f t="shared" si="95"/>
        <v>14</v>
      </c>
      <c r="R328" s="24">
        <f t="shared" si="96"/>
        <v>-46309</v>
      </c>
      <c r="S328" s="25">
        <f t="shared" si="97"/>
        <v>-14</v>
      </c>
      <c r="T328" s="23" t="str">
        <f t="shared" si="98"/>
        <v>No</v>
      </c>
      <c r="U328" s="23"/>
      <c r="V328" s="1" t="s">
        <v>700</v>
      </c>
    </row>
    <row r="329" spans="1:22" x14ac:dyDescent="0.3">
      <c r="A329" s="6">
        <v>328</v>
      </c>
      <c r="B329" s="1" t="s">
        <v>28</v>
      </c>
      <c r="C329" s="1" t="s">
        <v>697</v>
      </c>
      <c r="D329" s="1" t="s">
        <v>701</v>
      </c>
      <c r="E329" s="1">
        <v>1510003362</v>
      </c>
      <c r="F329" s="7" t="s">
        <v>699</v>
      </c>
      <c r="G329" s="1" t="s">
        <v>604</v>
      </c>
      <c r="H329" s="1" t="s">
        <v>25</v>
      </c>
      <c r="I329" s="11">
        <v>46305</v>
      </c>
      <c r="J329" s="11"/>
      <c r="K329" s="11"/>
      <c r="L329" s="11"/>
      <c r="M329" s="1" t="s">
        <v>32</v>
      </c>
      <c r="N329" s="6">
        <v>5</v>
      </c>
      <c r="O329" s="6">
        <v>15</v>
      </c>
      <c r="P329" s="12">
        <f t="shared" si="95"/>
        <v>46309</v>
      </c>
      <c r="Q329" s="12">
        <f t="shared" si="95"/>
        <v>14</v>
      </c>
      <c r="R329" s="24">
        <f t="shared" si="96"/>
        <v>-46309</v>
      </c>
      <c r="S329" s="25">
        <f t="shared" si="97"/>
        <v>-14</v>
      </c>
      <c r="T329" s="23" t="str">
        <f t="shared" si="98"/>
        <v>No</v>
      </c>
      <c r="U329" s="23"/>
      <c r="V329" s="1" t="s">
        <v>700</v>
      </c>
    </row>
    <row r="330" spans="1:22" x14ac:dyDescent="0.3">
      <c r="A330" s="6">
        <v>329</v>
      </c>
      <c r="B330" s="1" t="s">
        <v>28</v>
      </c>
      <c r="C330" s="1" t="s">
        <v>702</v>
      </c>
      <c r="D330" s="1" t="s">
        <v>703</v>
      </c>
      <c r="E330" s="1">
        <v>1510003366</v>
      </c>
      <c r="F330" s="8" t="s">
        <v>9</v>
      </c>
      <c r="G330" s="1" t="s">
        <v>704</v>
      </c>
      <c r="H330" s="1" t="s">
        <v>705</v>
      </c>
      <c r="I330" s="11">
        <v>46291</v>
      </c>
      <c r="J330" s="11">
        <v>46301</v>
      </c>
      <c r="K330" s="11">
        <v>46301</v>
      </c>
      <c r="L330" s="11">
        <v>46303</v>
      </c>
      <c r="M330" s="1" t="s">
        <v>32</v>
      </c>
      <c r="N330" s="6">
        <v>3</v>
      </c>
      <c r="O330" s="6">
        <v>0</v>
      </c>
      <c r="P330" s="12">
        <f t="shared" si="95"/>
        <v>46293</v>
      </c>
      <c r="Q330" s="12">
        <f t="shared" si="95"/>
        <v>46300</v>
      </c>
      <c r="R330" s="24">
        <f t="shared" si="96"/>
        <v>8</v>
      </c>
      <c r="S330" s="25">
        <f t="shared" si="97"/>
        <v>3</v>
      </c>
      <c r="T330" s="23" t="str">
        <f t="shared" si="98"/>
        <v>To Paid</v>
      </c>
      <c r="U330" s="23"/>
      <c r="V330" s="1" t="s">
        <v>706</v>
      </c>
    </row>
    <row r="331" spans="1:22" x14ac:dyDescent="0.3">
      <c r="A331" s="6">
        <v>330</v>
      </c>
      <c r="B331" s="1" t="s">
        <v>488</v>
      </c>
      <c r="C331" s="1" t="s">
        <v>707</v>
      </c>
      <c r="D331" s="1" t="s">
        <v>708</v>
      </c>
      <c r="E331" s="1">
        <v>1510003650</v>
      </c>
      <c r="F331" s="8" t="s">
        <v>9</v>
      </c>
      <c r="G331" s="1" t="s">
        <v>709</v>
      </c>
      <c r="H331" s="1" t="s">
        <v>25</v>
      </c>
      <c r="I331" s="11">
        <v>46273</v>
      </c>
      <c r="J331" s="11">
        <v>46315</v>
      </c>
      <c r="K331" s="11"/>
      <c r="L331" s="11"/>
      <c r="M331" s="1" t="s">
        <v>32</v>
      </c>
      <c r="N331" s="6"/>
      <c r="O331" s="6"/>
      <c r="P331" s="12">
        <f t="shared" ref="P331:P389" si="99">I331+N331-1</f>
        <v>46272</v>
      </c>
      <c r="Q331" s="12">
        <f t="shared" ref="Q331:Q389" si="100">J331+O331-1</f>
        <v>46314</v>
      </c>
      <c r="R331" s="24">
        <f t="shared" ref="R331:R389" si="101">J331-P331</f>
        <v>43</v>
      </c>
      <c r="S331" s="25">
        <f t="shared" ref="S331:S389" si="102">L331-Q331</f>
        <v>-46314</v>
      </c>
      <c r="T331" s="23" t="str">
        <f t="shared" ref="T331:T389" si="103">IF(R331&gt;0,"To Paid","No")</f>
        <v>To Paid</v>
      </c>
      <c r="U331" s="23"/>
      <c r="V331" s="1" t="s">
        <v>710</v>
      </c>
    </row>
    <row r="332" spans="1:22" x14ac:dyDescent="0.3">
      <c r="A332" s="6">
        <v>331</v>
      </c>
      <c r="B332" s="1" t="s">
        <v>488</v>
      </c>
      <c r="C332" s="1" t="s">
        <v>707</v>
      </c>
      <c r="D332" s="1" t="s">
        <v>711</v>
      </c>
      <c r="E332" s="1">
        <v>1510003650</v>
      </c>
      <c r="F332" s="8" t="s">
        <v>9</v>
      </c>
      <c r="G332" s="1" t="s">
        <v>709</v>
      </c>
      <c r="H332" s="1" t="s">
        <v>25</v>
      </c>
      <c r="I332" s="11">
        <v>46273</v>
      </c>
      <c r="J332" s="11">
        <v>46315</v>
      </c>
      <c r="K332" s="11" t="s">
        <v>712</v>
      </c>
      <c r="L332" s="11"/>
      <c r="M332" s="1" t="s">
        <v>32</v>
      </c>
      <c r="N332" s="6"/>
      <c r="O332" s="6"/>
      <c r="P332" s="12">
        <f t="shared" si="99"/>
        <v>46272</v>
      </c>
      <c r="Q332" s="12">
        <f t="shared" si="100"/>
        <v>46314</v>
      </c>
      <c r="R332" s="24">
        <f t="shared" si="101"/>
        <v>43</v>
      </c>
      <c r="S332" s="25">
        <f t="shared" si="102"/>
        <v>-46314</v>
      </c>
      <c r="T332" s="23" t="str">
        <f t="shared" si="103"/>
        <v>To Paid</v>
      </c>
      <c r="U332" s="23"/>
      <c r="V332" s="1" t="s">
        <v>710</v>
      </c>
    </row>
    <row r="333" spans="1:22" x14ac:dyDescent="0.3">
      <c r="A333" s="6">
        <v>332</v>
      </c>
      <c r="B333" s="1" t="s">
        <v>488</v>
      </c>
      <c r="C333" s="1" t="s">
        <v>707</v>
      </c>
      <c r="D333" s="1" t="s">
        <v>713</v>
      </c>
      <c r="E333" s="1">
        <v>1510003650</v>
      </c>
      <c r="F333" s="8" t="s">
        <v>9</v>
      </c>
      <c r="G333" s="1" t="s">
        <v>709</v>
      </c>
      <c r="H333" s="1" t="s">
        <v>25</v>
      </c>
      <c r="I333" s="11">
        <v>46273</v>
      </c>
      <c r="J333" s="11">
        <v>46315</v>
      </c>
      <c r="K333" s="11" t="s">
        <v>712</v>
      </c>
      <c r="L333" s="11"/>
      <c r="M333" s="1" t="s">
        <v>32</v>
      </c>
      <c r="N333" s="6"/>
      <c r="O333" s="6"/>
      <c r="P333" s="12">
        <f t="shared" si="99"/>
        <v>46272</v>
      </c>
      <c r="Q333" s="12">
        <f t="shared" si="100"/>
        <v>46314</v>
      </c>
      <c r="R333" s="24">
        <f t="shared" si="101"/>
        <v>43</v>
      </c>
      <c r="S333" s="25">
        <f t="shared" si="102"/>
        <v>-46314</v>
      </c>
      <c r="T333" s="23" t="str">
        <f t="shared" si="103"/>
        <v>To Paid</v>
      </c>
      <c r="U333" s="23"/>
      <c r="V333" s="1" t="s">
        <v>710</v>
      </c>
    </row>
    <row r="334" spans="1:22" x14ac:dyDescent="0.3">
      <c r="A334" s="6">
        <v>333</v>
      </c>
      <c r="B334" s="1" t="s">
        <v>488</v>
      </c>
      <c r="C334" s="1" t="s">
        <v>707</v>
      </c>
      <c r="D334" s="1" t="s">
        <v>714</v>
      </c>
      <c r="E334" s="1">
        <v>1510003650</v>
      </c>
      <c r="F334" s="8" t="s">
        <v>9</v>
      </c>
      <c r="G334" s="1" t="s">
        <v>709</v>
      </c>
      <c r="H334" s="1" t="s">
        <v>25</v>
      </c>
      <c r="I334" s="11">
        <v>46273</v>
      </c>
      <c r="J334" s="11">
        <v>46315</v>
      </c>
      <c r="K334" s="11"/>
      <c r="L334" s="11"/>
      <c r="M334" s="1" t="s">
        <v>32</v>
      </c>
      <c r="N334" s="6"/>
      <c r="O334" s="6"/>
      <c r="P334" s="12">
        <f t="shared" si="99"/>
        <v>46272</v>
      </c>
      <c r="Q334" s="12">
        <f t="shared" si="100"/>
        <v>46314</v>
      </c>
      <c r="R334" s="24">
        <f t="shared" si="101"/>
        <v>43</v>
      </c>
      <c r="S334" s="25">
        <f t="shared" si="102"/>
        <v>-46314</v>
      </c>
      <c r="T334" s="23" t="str">
        <f t="shared" si="103"/>
        <v>To Paid</v>
      </c>
      <c r="U334" s="23"/>
      <c r="V334" s="1" t="s">
        <v>710</v>
      </c>
    </row>
    <row r="335" spans="1:22" x14ac:dyDescent="0.3">
      <c r="A335" s="6">
        <v>334</v>
      </c>
      <c r="B335" s="1" t="s">
        <v>488</v>
      </c>
      <c r="C335" s="1" t="s">
        <v>707</v>
      </c>
      <c r="D335" s="1" t="s">
        <v>715</v>
      </c>
      <c r="E335" s="1">
        <v>1510003650</v>
      </c>
      <c r="F335" s="8" t="s">
        <v>9</v>
      </c>
      <c r="G335" s="1" t="s">
        <v>709</v>
      </c>
      <c r="H335" s="1" t="s">
        <v>25</v>
      </c>
      <c r="I335" s="11">
        <v>46273</v>
      </c>
      <c r="J335" s="11">
        <v>46315</v>
      </c>
      <c r="K335" s="11"/>
      <c r="L335" s="11"/>
      <c r="M335" s="1" t="s">
        <v>32</v>
      </c>
      <c r="N335" s="6"/>
      <c r="O335" s="6"/>
      <c r="P335" s="12">
        <f t="shared" si="99"/>
        <v>46272</v>
      </c>
      <c r="Q335" s="12">
        <f t="shared" si="100"/>
        <v>46314</v>
      </c>
      <c r="R335" s="24">
        <f t="shared" si="101"/>
        <v>43</v>
      </c>
      <c r="S335" s="25">
        <f t="shared" si="102"/>
        <v>-46314</v>
      </c>
      <c r="T335" s="23" t="str">
        <f t="shared" si="103"/>
        <v>To Paid</v>
      </c>
      <c r="U335" s="23"/>
      <c r="V335" s="1" t="s">
        <v>710</v>
      </c>
    </row>
    <row r="336" spans="1:22" x14ac:dyDescent="0.3">
      <c r="A336" s="6">
        <v>335</v>
      </c>
      <c r="B336" s="1" t="s">
        <v>488</v>
      </c>
      <c r="C336" s="1" t="s">
        <v>707</v>
      </c>
      <c r="D336" s="1" t="s">
        <v>716</v>
      </c>
      <c r="E336" s="1">
        <v>1510003650</v>
      </c>
      <c r="F336" s="8" t="s">
        <v>9</v>
      </c>
      <c r="G336" s="1" t="s">
        <v>709</v>
      </c>
      <c r="H336" s="1" t="s">
        <v>25</v>
      </c>
      <c r="I336" s="11">
        <v>46273</v>
      </c>
      <c r="J336" s="11">
        <v>46315</v>
      </c>
      <c r="K336" s="11"/>
      <c r="L336" s="11"/>
      <c r="M336" s="1" t="s">
        <v>32</v>
      </c>
      <c r="N336" s="6"/>
      <c r="O336" s="6"/>
      <c r="P336" s="12">
        <f t="shared" si="99"/>
        <v>46272</v>
      </c>
      <c r="Q336" s="12">
        <f t="shared" si="100"/>
        <v>46314</v>
      </c>
      <c r="R336" s="24">
        <f t="shared" si="101"/>
        <v>43</v>
      </c>
      <c r="S336" s="25">
        <f t="shared" si="102"/>
        <v>-46314</v>
      </c>
      <c r="T336" s="23" t="str">
        <f t="shared" si="103"/>
        <v>To Paid</v>
      </c>
      <c r="U336" s="23"/>
      <c r="V336" s="1" t="s">
        <v>710</v>
      </c>
    </row>
    <row r="337" spans="1:22" x14ac:dyDescent="0.3">
      <c r="A337" s="6">
        <v>336</v>
      </c>
      <c r="B337" s="1" t="s">
        <v>488</v>
      </c>
      <c r="C337" s="1" t="s">
        <v>707</v>
      </c>
      <c r="D337" s="1" t="s">
        <v>717</v>
      </c>
      <c r="E337" s="1">
        <v>1510003650</v>
      </c>
      <c r="F337" s="8" t="s">
        <v>9</v>
      </c>
      <c r="G337" s="1" t="s">
        <v>709</v>
      </c>
      <c r="H337" s="1" t="s">
        <v>25</v>
      </c>
      <c r="I337" s="11">
        <v>46273</v>
      </c>
      <c r="J337" s="11">
        <v>46315</v>
      </c>
      <c r="K337" s="11" t="s">
        <v>712</v>
      </c>
      <c r="L337" s="11"/>
      <c r="M337" s="1" t="s">
        <v>32</v>
      </c>
      <c r="N337" s="6"/>
      <c r="O337" s="6"/>
      <c r="P337" s="12">
        <f t="shared" si="99"/>
        <v>46272</v>
      </c>
      <c r="Q337" s="12">
        <f t="shared" si="100"/>
        <v>46314</v>
      </c>
      <c r="R337" s="24">
        <f t="shared" si="101"/>
        <v>43</v>
      </c>
      <c r="S337" s="25">
        <f t="shared" si="102"/>
        <v>-46314</v>
      </c>
      <c r="T337" s="23" t="str">
        <f t="shared" si="103"/>
        <v>To Paid</v>
      </c>
      <c r="U337" s="23"/>
      <c r="V337" s="1" t="s">
        <v>710</v>
      </c>
    </row>
    <row r="338" spans="1:22" x14ac:dyDescent="0.3">
      <c r="A338" s="6">
        <v>337</v>
      </c>
      <c r="B338" s="1" t="s">
        <v>488</v>
      </c>
      <c r="C338" s="1" t="s">
        <v>718</v>
      </c>
      <c r="D338" s="1" t="s">
        <v>719</v>
      </c>
      <c r="E338" s="1">
        <v>1510003651</v>
      </c>
      <c r="F338" s="8" t="s">
        <v>9</v>
      </c>
      <c r="G338" s="1" t="s">
        <v>720</v>
      </c>
      <c r="H338" s="1" t="s">
        <v>25</v>
      </c>
      <c r="I338" s="11">
        <v>46274</v>
      </c>
      <c r="J338" s="11">
        <v>46290</v>
      </c>
      <c r="K338" s="11">
        <v>46294</v>
      </c>
      <c r="L338" s="11">
        <v>46297</v>
      </c>
      <c r="M338" s="1" t="s">
        <v>32</v>
      </c>
      <c r="N338" s="6"/>
      <c r="O338" s="6"/>
      <c r="P338" s="12">
        <f t="shared" si="99"/>
        <v>46273</v>
      </c>
      <c r="Q338" s="12">
        <f t="shared" si="100"/>
        <v>46289</v>
      </c>
      <c r="R338" s="24">
        <f t="shared" si="101"/>
        <v>17</v>
      </c>
      <c r="S338" s="25">
        <f t="shared" si="102"/>
        <v>8</v>
      </c>
      <c r="T338" s="23" t="str">
        <f t="shared" si="103"/>
        <v>To Paid</v>
      </c>
      <c r="U338" s="23"/>
      <c r="V338" s="1" t="s">
        <v>721</v>
      </c>
    </row>
    <row r="339" spans="1:22" x14ac:dyDescent="0.3">
      <c r="A339" s="6">
        <v>338</v>
      </c>
      <c r="B339" s="1" t="s">
        <v>317</v>
      </c>
      <c r="C339" s="1" t="s">
        <v>722</v>
      </c>
      <c r="D339" s="1" t="s">
        <v>723</v>
      </c>
      <c r="E339" s="1">
        <v>1510003382</v>
      </c>
      <c r="F339" s="8" t="s">
        <v>9</v>
      </c>
      <c r="G339" s="1" t="s">
        <v>724</v>
      </c>
      <c r="H339" s="1" t="s">
        <v>25</v>
      </c>
      <c r="I339" s="11">
        <v>46281</v>
      </c>
      <c r="J339" s="11">
        <v>46309</v>
      </c>
      <c r="K339" s="11"/>
      <c r="L339" s="11"/>
      <c r="M339" s="1" t="s">
        <v>32</v>
      </c>
      <c r="N339" s="6">
        <v>21</v>
      </c>
      <c r="O339" s="6"/>
      <c r="P339" s="12">
        <f t="shared" si="99"/>
        <v>46301</v>
      </c>
      <c r="Q339" s="12">
        <f t="shared" si="100"/>
        <v>46308</v>
      </c>
      <c r="R339" s="24">
        <f t="shared" si="101"/>
        <v>8</v>
      </c>
      <c r="S339" s="25">
        <f t="shared" si="102"/>
        <v>-46308</v>
      </c>
      <c r="T339" s="23" t="str">
        <f t="shared" si="103"/>
        <v>To Paid</v>
      </c>
      <c r="U339" s="7" t="s">
        <v>699</v>
      </c>
      <c r="V339" s="1" t="s">
        <v>725</v>
      </c>
    </row>
    <row r="340" spans="1:22" x14ac:dyDescent="0.3">
      <c r="A340" s="6">
        <v>339</v>
      </c>
      <c r="B340" s="1" t="s">
        <v>317</v>
      </c>
      <c r="C340" s="1" t="s">
        <v>722</v>
      </c>
      <c r="D340" s="1" t="s">
        <v>726</v>
      </c>
      <c r="E340" s="1">
        <v>1510003382</v>
      </c>
      <c r="F340" s="8" t="s">
        <v>9</v>
      </c>
      <c r="G340" s="1" t="s">
        <v>724</v>
      </c>
      <c r="H340" s="1" t="s">
        <v>25</v>
      </c>
      <c r="I340" s="11">
        <v>46281</v>
      </c>
      <c r="J340" s="11">
        <v>46301</v>
      </c>
      <c r="K340" s="11">
        <v>46304</v>
      </c>
      <c r="L340" s="11">
        <v>46304</v>
      </c>
      <c r="M340" s="1" t="s">
        <v>32</v>
      </c>
      <c r="N340" s="6">
        <v>21</v>
      </c>
      <c r="O340" s="6">
        <v>0</v>
      </c>
      <c r="P340" s="12">
        <f t="shared" si="99"/>
        <v>46301</v>
      </c>
      <c r="Q340" s="12">
        <f t="shared" si="100"/>
        <v>46300</v>
      </c>
      <c r="R340" s="24">
        <f t="shared" si="101"/>
        <v>0</v>
      </c>
      <c r="S340" s="25">
        <f t="shared" si="102"/>
        <v>4</v>
      </c>
      <c r="T340" s="23" t="str">
        <f t="shared" si="103"/>
        <v>No</v>
      </c>
      <c r="U340" s="7" t="s">
        <v>699</v>
      </c>
      <c r="V340" s="1" t="s">
        <v>725</v>
      </c>
    </row>
    <row r="341" spans="1:22" x14ac:dyDescent="0.3">
      <c r="A341" s="6">
        <v>340</v>
      </c>
      <c r="B341" s="1" t="s">
        <v>317</v>
      </c>
      <c r="C341" s="1" t="s">
        <v>722</v>
      </c>
      <c r="D341" s="1" t="s">
        <v>727</v>
      </c>
      <c r="E341" s="1">
        <v>1510003382</v>
      </c>
      <c r="F341" s="8" t="s">
        <v>9</v>
      </c>
      <c r="G341" s="1" t="s">
        <v>724</v>
      </c>
      <c r="H341" s="1" t="s">
        <v>25</v>
      </c>
      <c r="I341" s="11">
        <v>46281</v>
      </c>
      <c r="J341" s="11">
        <v>46304</v>
      </c>
      <c r="K341" s="11">
        <v>46307</v>
      </c>
      <c r="L341" s="11">
        <v>46308</v>
      </c>
      <c r="M341" s="1" t="s">
        <v>32</v>
      </c>
      <c r="N341" s="6">
        <v>21</v>
      </c>
      <c r="O341" s="6"/>
      <c r="P341" s="12">
        <f t="shared" si="99"/>
        <v>46301</v>
      </c>
      <c r="Q341" s="12">
        <f t="shared" si="100"/>
        <v>46303</v>
      </c>
      <c r="R341" s="24">
        <f t="shared" si="101"/>
        <v>3</v>
      </c>
      <c r="S341" s="25">
        <f t="shared" si="102"/>
        <v>5</v>
      </c>
      <c r="T341" s="23" t="str">
        <f t="shared" si="103"/>
        <v>To Paid</v>
      </c>
      <c r="U341" s="7" t="s">
        <v>699</v>
      </c>
      <c r="V341" s="1" t="s">
        <v>725</v>
      </c>
    </row>
    <row r="342" spans="1:22" x14ac:dyDescent="0.3">
      <c r="A342" s="6">
        <v>341</v>
      </c>
      <c r="B342" s="1" t="s">
        <v>317</v>
      </c>
      <c r="C342" s="1" t="s">
        <v>722</v>
      </c>
      <c r="D342" s="1" t="s">
        <v>728</v>
      </c>
      <c r="E342" s="1">
        <v>1510003382</v>
      </c>
      <c r="F342" s="8" t="s">
        <v>9</v>
      </c>
      <c r="G342" s="1" t="s">
        <v>729</v>
      </c>
      <c r="H342" s="1" t="s">
        <v>25</v>
      </c>
      <c r="I342" s="11">
        <v>46281</v>
      </c>
      <c r="J342" s="11">
        <v>46301</v>
      </c>
      <c r="K342" s="11">
        <v>46309</v>
      </c>
      <c r="L342" s="11">
        <v>46309</v>
      </c>
      <c r="M342" s="1" t="s">
        <v>32</v>
      </c>
      <c r="N342" s="6">
        <v>21</v>
      </c>
      <c r="O342" s="6"/>
      <c r="P342" s="12">
        <f t="shared" si="99"/>
        <v>46301</v>
      </c>
      <c r="Q342" s="12">
        <f t="shared" si="100"/>
        <v>46300</v>
      </c>
      <c r="R342" s="24">
        <f t="shared" si="101"/>
        <v>0</v>
      </c>
      <c r="S342" s="25">
        <f t="shared" si="102"/>
        <v>9</v>
      </c>
      <c r="T342" s="23" t="str">
        <f t="shared" si="103"/>
        <v>No</v>
      </c>
      <c r="U342" s="38" t="s">
        <v>321</v>
      </c>
      <c r="V342" s="1" t="s">
        <v>725</v>
      </c>
    </row>
    <row r="343" spans="1:22" ht="14.4" customHeight="1" x14ac:dyDescent="0.3">
      <c r="A343" s="6">
        <v>342</v>
      </c>
      <c r="B343" s="1" t="s">
        <v>62</v>
      </c>
      <c r="C343" s="1" t="s">
        <v>730</v>
      </c>
      <c r="D343" s="1" t="s">
        <v>731</v>
      </c>
      <c r="E343" s="1">
        <v>1510003501</v>
      </c>
      <c r="F343" s="8" t="s">
        <v>9</v>
      </c>
      <c r="G343" s="1" t="s">
        <v>732</v>
      </c>
      <c r="H343" s="1" t="s">
        <v>66</v>
      </c>
      <c r="I343" s="11">
        <v>46290</v>
      </c>
      <c r="J343" s="11">
        <v>46291</v>
      </c>
      <c r="K343" s="11">
        <v>46296</v>
      </c>
      <c r="L343" s="11">
        <v>46297</v>
      </c>
      <c r="M343" s="1" t="s">
        <v>32</v>
      </c>
      <c r="N343" s="6">
        <v>15</v>
      </c>
      <c r="O343" s="6">
        <v>20</v>
      </c>
      <c r="P343" s="12">
        <f t="shared" si="99"/>
        <v>46304</v>
      </c>
      <c r="Q343" s="12">
        <f t="shared" si="100"/>
        <v>46310</v>
      </c>
      <c r="R343" s="24">
        <f t="shared" si="101"/>
        <v>-13</v>
      </c>
      <c r="S343" s="25">
        <f t="shared" si="102"/>
        <v>-13</v>
      </c>
      <c r="T343" s="23" t="str">
        <f t="shared" si="103"/>
        <v>No</v>
      </c>
      <c r="U343" s="23"/>
      <c r="V343" s="1" t="s">
        <v>733</v>
      </c>
    </row>
    <row r="344" spans="1:22" ht="14.4" customHeight="1" x14ac:dyDescent="0.3">
      <c r="A344" s="6">
        <v>343</v>
      </c>
      <c r="B344" s="1" t="s">
        <v>62</v>
      </c>
      <c r="C344" s="1" t="s">
        <v>730</v>
      </c>
      <c r="D344" s="1" t="s">
        <v>734</v>
      </c>
      <c r="E344" s="1">
        <v>1510003501</v>
      </c>
      <c r="F344" s="8" t="s">
        <v>9</v>
      </c>
      <c r="G344" s="1" t="s">
        <v>732</v>
      </c>
      <c r="H344" s="1" t="s">
        <v>66</v>
      </c>
      <c r="I344" s="11">
        <v>46290</v>
      </c>
      <c r="J344" s="11">
        <v>46294</v>
      </c>
      <c r="K344" s="11">
        <v>46297</v>
      </c>
      <c r="L344" s="11">
        <v>46298</v>
      </c>
      <c r="M344" s="1" t="s">
        <v>32</v>
      </c>
      <c r="N344" s="6">
        <v>15</v>
      </c>
      <c r="O344" s="6">
        <v>20</v>
      </c>
      <c r="P344" s="12">
        <f t="shared" si="99"/>
        <v>46304</v>
      </c>
      <c r="Q344" s="12">
        <f t="shared" si="100"/>
        <v>46313</v>
      </c>
      <c r="R344" s="24">
        <f t="shared" si="101"/>
        <v>-10</v>
      </c>
      <c r="S344" s="25">
        <f t="shared" si="102"/>
        <v>-15</v>
      </c>
      <c r="T344" s="23" t="str">
        <f t="shared" si="103"/>
        <v>No</v>
      </c>
      <c r="U344" s="23"/>
      <c r="V344" s="1" t="s">
        <v>733</v>
      </c>
    </row>
    <row r="345" spans="1:22" ht="14.4" customHeight="1" x14ac:dyDescent="0.3">
      <c r="A345" s="6">
        <v>344</v>
      </c>
      <c r="B345" s="1" t="s">
        <v>62</v>
      </c>
      <c r="C345" s="1" t="s">
        <v>730</v>
      </c>
      <c r="D345" s="1" t="s">
        <v>735</v>
      </c>
      <c r="E345" s="1">
        <v>1510003501</v>
      </c>
      <c r="F345" s="8" t="s">
        <v>9</v>
      </c>
      <c r="G345" s="1" t="s">
        <v>732</v>
      </c>
      <c r="H345" s="1" t="s">
        <v>66</v>
      </c>
      <c r="I345" s="11">
        <v>46290</v>
      </c>
      <c r="J345" s="11">
        <v>46305</v>
      </c>
      <c r="K345" s="11">
        <v>46307</v>
      </c>
      <c r="L345" s="11">
        <v>46308</v>
      </c>
      <c r="M345" s="1" t="s">
        <v>32</v>
      </c>
      <c r="N345" s="6">
        <v>15</v>
      </c>
      <c r="O345" s="6">
        <v>20</v>
      </c>
      <c r="P345" s="12">
        <f t="shared" si="99"/>
        <v>46304</v>
      </c>
      <c r="Q345" s="12">
        <f t="shared" si="100"/>
        <v>46324</v>
      </c>
      <c r="R345" s="24">
        <f t="shared" si="101"/>
        <v>1</v>
      </c>
      <c r="S345" s="25">
        <f t="shared" si="102"/>
        <v>-16</v>
      </c>
      <c r="T345" s="23" t="str">
        <f t="shared" si="103"/>
        <v>To Paid</v>
      </c>
      <c r="U345" s="23"/>
      <c r="V345" s="1" t="s">
        <v>733</v>
      </c>
    </row>
    <row r="346" spans="1:22" x14ac:dyDescent="0.3">
      <c r="A346" s="6">
        <v>345</v>
      </c>
      <c r="B346" s="1" t="s">
        <v>62</v>
      </c>
      <c r="C346" s="1" t="s">
        <v>730</v>
      </c>
      <c r="D346" s="1" t="s">
        <v>736</v>
      </c>
      <c r="E346" s="1">
        <v>1510003501</v>
      </c>
      <c r="F346" s="8" t="s">
        <v>9</v>
      </c>
      <c r="G346" s="1" t="s">
        <v>732</v>
      </c>
      <c r="H346" s="1" t="s">
        <v>66</v>
      </c>
      <c r="I346" s="11">
        <v>46290</v>
      </c>
      <c r="J346" s="11">
        <v>46305</v>
      </c>
      <c r="K346" s="11">
        <v>46308</v>
      </c>
      <c r="L346" s="11">
        <v>46310</v>
      </c>
      <c r="M346" s="1" t="s">
        <v>32</v>
      </c>
      <c r="N346" s="6">
        <v>15</v>
      </c>
      <c r="O346" s="6">
        <v>20</v>
      </c>
      <c r="P346" s="12">
        <f t="shared" si="99"/>
        <v>46304</v>
      </c>
      <c r="Q346" s="12">
        <f t="shared" si="100"/>
        <v>46324</v>
      </c>
      <c r="R346" s="24">
        <f t="shared" si="101"/>
        <v>1</v>
      </c>
      <c r="S346" s="25">
        <f t="shared" si="102"/>
        <v>-14</v>
      </c>
      <c r="T346" s="23" t="str">
        <f t="shared" si="103"/>
        <v>To Paid</v>
      </c>
      <c r="U346" s="23"/>
      <c r="V346" s="1" t="s">
        <v>733</v>
      </c>
    </row>
    <row r="347" spans="1:22" x14ac:dyDescent="0.3">
      <c r="A347" s="6">
        <v>346</v>
      </c>
      <c r="B347" s="1" t="s">
        <v>62</v>
      </c>
      <c r="C347" s="1" t="s">
        <v>737</v>
      </c>
      <c r="D347" s="1" t="s">
        <v>738</v>
      </c>
      <c r="E347" s="1">
        <v>1510003500</v>
      </c>
      <c r="F347" s="8" t="s">
        <v>9</v>
      </c>
      <c r="G347" s="1" t="s">
        <v>739</v>
      </c>
      <c r="H347" s="1" t="s">
        <v>66</v>
      </c>
      <c r="I347" s="11">
        <v>46290</v>
      </c>
      <c r="J347" s="11">
        <v>46303</v>
      </c>
      <c r="K347" s="11">
        <v>46304</v>
      </c>
      <c r="L347" s="11"/>
      <c r="M347" s="1" t="s">
        <v>32</v>
      </c>
      <c r="N347" s="6">
        <v>15</v>
      </c>
      <c r="O347" s="6">
        <v>20</v>
      </c>
      <c r="P347" s="12">
        <f t="shared" si="99"/>
        <v>46304</v>
      </c>
      <c r="Q347" s="12">
        <f t="shared" si="100"/>
        <v>46322</v>
      </c>
      <c r="R347" s="24">
        <f t="shared" si="101"/>
        <v>-1</v>
      </c>
      <c r="S347" s="25">
        <f t="shared" si="102"/>
        <v>-46322</v>
      </c>
      <c r="T347" s="23" t="str">
        <f t="shared" si="103"/>
        <v>No</v>
      </c>
      <c r="U347" s="23"/>
      <c r="V347" s="1" t="s">
        <v>740</v>
      </c>
    </row>
    <row r="348" spans="1:22" x14ac:dyDescent="0.3">
      <c r="A348" s="6">
        <v>347</v>
      </c>
      <c r="B348" s="1" t="s">
        <v>62</v>
      </c>
      <c r="C348" s="1" t="s">
        <v>737</v>
      </c>
      <c r="D348" s="1" t="s">
        <v>741</v>
      </c>
      <c r="E348" s="1">
        <v>1510003500</v>
      </c>
      <c r="F348" s="8" t="s">
        <v>9</v>
      </c>
      <c r="G348" s="1" t="s">
        <v>739</v>
      </c>
      <c r="H348" s="1" t="s">
        <v>66</v>
      </c>
      <c r="I348" s="11">
        <v>46290</v>
      </c>
      <c r="J348" s="11">
        <v>46304</v>
      </c>
      <c r="K348" s="11">
        <v>46305</v>
      </c>
      <c r="L348" s="11"/>
      <c r="M348" s="1" t="s">
        <v>32</v>
      </c>
      <c r="N348" s="6">
        <v>15</v>
      </c>
      <c r="O348" s="6">
        <v>20</v>
      </c>
      <c r="P348" s="12">
        <f t="shared" si="99"/>
        <v>46304</v>
      </c>
      <c r="Q348" s="12">
        <f t="shared" si="100"/>
        <v>46323</v>
      </c>
      <c r="R348" s="24">
        <f t="shared" si="101"/>
        <v>0</v>
      </c>
      <c r="S348" s="25">
        <f t="shared" si="102"/>
        <v>-46323</v>
      </c>
      <c r="T348" s="23" t="str">
        <f t="shared" si="103"/>
        <v>No</v>
      </c>
      <c r="U348" s="23"/>
      <c r="V348" s="1" t="s">
        <v>740</v>
      </c>
    </row>
    <row r="349" spans="1:22" x14ac:dyDescent="0.3">
      <c r="A349" s="6">
        <v>348</v>
      </c>
      <c r="B349" s="1" t="s">
        <v>62</v>
      </c>
      <c r="C349" s="1" t="s">
        <v>737</v>
      </c>
      <c r="D349" s="1" t="s">
        <v>742</v>
      </c>
      <c r="E349" s="1">
        <v>1510003500</v>
      </c>
      <c r="F349" s="8" t="s">
        <v>9</v>
      </c>
      <c r="G349" s="1" t="s">
        <v>739</v>
      </c>
      <c r="H349" s="1" t="s">
        <v>66</v>
      </c>
      <c r="I349" s="11">
        <v>46290</v>
      </c>
      <c r="J349" s="11">
        <v>46303</v>
      </c>
      <c r="K349" s="11">
        <v>46304</v>
      </c>
      <c r="L349" s="11"/>
      <c r="M349" s="1" t="s">
        <v>32</v>
      </c>
      <c r="N349" s="6">
        <v>15</v>
      </c>
      <c r="O349" s="6">
        <v>20</v>
      </c>
      <c r="P349" s="12">
        <f t="shared" si="99"/>
        <v>46304</v>
      </c>
      <c r="Q349" s="12">
        <f t="shared" si="100"/>
        <v>46322</v>
      </c>
      <c r="R349" s="24">
        <f t="shared" si="101"/>
        <v>-1</v>
      </c>
      <c r="S349" s="25">
        <f t="shared" si="102"/>
        <v>-46322</v>
      </c>
      <c r="T349" s="23" t="str">
        <f t="shared" si="103"/>
        <v>No</v>
      </c>
      <c r="U349" s="23"/>
      <c r="V349" s="1" t="s">
        <v>740</v>
      </c>
    </row>
    <row r="350" spans="1:22" x14ac:dyDescent="0.3">
      <c r="A350" s="6">
        <v>349</v>
      </c>
      <c r="B350" s="1" t="s">
        <v>62</v>
      </c>
      <c r="C350" s="1" t="s">
        <v>737</v>
      </c>
      <c r="D350" s="1" t="s">
        <v>743</v>
      </c>
      <c r="E350" s="1">
        <v>1510003500</v>
      </c>
      <c r="F350" s="8" t="s">
        <v>9</v>
      </c>
      <c r="G350" s="1" t="s">
        <v>739</v>
      </c>
      <c r="H350" s="1" t="s">
        <v>66</v>
      </c>
      <c r="I350" s="11">
        <v>46290</v>
      </c>
      <c r="J350" s="11">
        <v>46304</v>
      </c>
      <c r="K350" s="11">
        <v>46305</v>
      </c>
      <c r="L350" s="11"/>
      <c r="M350" s="1" t="s">
        <v>32</v>
      </c>
      <c r="N350" s="6">
        <v>15</v>
      </c>
      <c r="O350" s="6">
        <v>20</v>
      </c>
      <c r="P350" s="12">
        <f t="shared" si="99"/>
        <v>46304</v>
      </c>
      <c r="Q350" s="12">
        <f t="shared" si="100"/>
        <v>46323</v>
      </c>
      <c r="R350" s="24">
        <f t="shared" si="101"/>
        <v>0</v>
      </c>
      <c r="S350" s="25">
        <f t="shared" si="102"/>
        <v>-46323</v>
      </c>
      <c r="T350" s="23" t="str">
        <f t="shared" si="103"/>
        <v>No</v>
      </c>
      <c r="U350" s="23"/>
      <c r="V350" s="1" t="s">
        <v>740</v>
      </c>
    </row>
    <row r="351" spans="1:22" x14ac:dyDescent="0.3">
      <c r="A351" s="6">
        <v>350</v>
      </c>
      <c r="B351" s="1" t="s">
        <v>62</v>
      </c>
      <c r="C351" s="1" t="s">
        <v>744</v>
      </c>
      <c r="D351" s="1" t="s">
        <v>745</v>
      </c>
      <c r="E351" s="1">
        <v>1510003502</v>
      </c>
      <c r="F351" s="8" t="s">
        <v>9</v>
      </c>
      <c r="G351" s="1" t="s">
        <v>732</v>
      </c>
      <c r="H351" s="1" t="s">
        <v>66</v>
      </c>
      <c r="I351" s="11">
        <v>46293</v>
      </c>
      <c r="J351" s="11">
        <v>46308</v>
      </c>
      <c r="K351" s="11">
        <v>46310</v>
      </c>
      <c r="L351" s="11">
        <v>46311</v>
      </c>
      <c r="M351" s="1" t="s">
        <v>32</v>
      </c>
      <c r="N351" s="6">
        <v>15</v>
      </c>
      <c r="O351" s="6">
        <v>20</v>
      </c>
      <c r="P351" s="12">
        <f t="shared" si="99"/>
        <v>46307</v>
      </c>
      <c r="Q351" s="12">
        <f t="shared" si="100"/>
        <v>46327</v>
      </c>
      <c r="R351" s="24">
        <f t="shared" si="101"/>
        <v>1</v>
      </c>
      <c r="S351" s="25">
        <f t="shared" si="102"/>
        <v>-16</v>
      </c>
      <c r="T351" s="23" t="str">
        <f t="shared" si="103"/>
        <v>To Paid</v>
      </c>
      <c r="U351" s="23"/>
      <c r="V351" s="1" t="s">
        <v>746</v>
      </c>
    </row>
    <row r="352" spans="1:22" x14ac:dyDescent="0.3">
      <c r="A352" s="6">
        <v>351</v>
      </c>
      <c r="B352" s="1" t="s">
        <v>62</v>
      </c>
      <c r="C352" s="1" t="s">
        <v>744</v>
      </c>
      <c r="D352" s="1" t="s">
        <v>747</v>
      </c>
      <c r="E352" s="1">
        <v>1510003502</v>
      </c>
      <c r="F352" s="8" t="s">
        <v>9</v>
      </c>
      <c r="G352" s="1" t="s">
        <v>732</v>
      </c>
      <c r="H352" s="1" t="s">
        <v>66</v>
      </c>
      <c r="I352" s="11">
        <v>46293</v>
      </c>
      <c r="J352" s="11">
        <v>46301</v>
      </c>
      <c r="K352" s="11">
        <v>46304</v>
      </c>
      <c r="L352" s="11">
        <v>46304</v>
      </c>
      <c r="M352" s="1" t="s">
        <v>32</v>
      </c>
      <c r="N352" s="6">
        <v>15</v>
      </c>
      <c r="O352" s="6">
        <v>20</v>
      </c>
      <c r="P352" s="12">
        <f t="shared" si="99"/>
        <v>46307</v>
      </c>
      <c r="Q352" s="12">
        <f t="shared" si="100"/>
        <v>46320</v>
      </c>
      <c r="R352" s="24">
        <f t="shared" si="101"/>
        <v>-6</v>
      </c>
      <c r="S352" s="25">
        <f t="shared" si="102"/>
        <v>-16</v>
      </c>
      <c r="T352" s="23" t="str">
        <f t="shared" si="103"/>
        <v>No</v>
      </c>
      <c r="U352" s="23"/>
      <c r="V352" s="1" t="s">
        <v>746</v>
      </c>
    </row>
    <row r="353" spans="1:22" x14ac:dyDescent="0.3">
      <c r="A353" s="6">
        <v>352</v>
      </c>
      <c r="B353" s="1" t="s">
        <v>62</v>
      </c>
      <c r="C353" s="1" t="s">
        <v>744</v>
      </c>
      <c r="D353" s="1" t="s">
        <v>748</v>
      </c>
      <c r="E353" s="1">
        <v>1510003502</v>
      </c>
      <c r="F353" s="8" t="s">
        <v>9</v>
      </c>
      <c r="G353" s="1" t="s">
        <v>732</v>
      </c>
      <c r="H353" s="1" t="s">
        <v>66</v>
      </c>
      <c r="I353" s="11">
        <v>46293</v>
      </c>
      <c r="J353" s="11">
        <v>46294</v>
      </c>
      <c r="K353" s="11">
        <v>46296</v>
      </c>
      <c r="L353" s="11">
        <v>46297</v>
      </c>
      <c r="M353" s="1" t="s">
        <v>32</v>
      </c>
      <c r="N353" s="6">
        <v>15</v>
      </c>
      <c r="O353" s="6">
        <v>20</v>
      </c>
      <c r="P353" s="12">
        <f t="shared" si="99"/>
        <v>46307</v>
      </c>
      <c r="Q353" s="12">
        <f t="shared" si="100"/>
        <v>46313</v>
      </c>
      <c r="R353" s="24">
        <f t="shared" si="101"/>
        <v>-13</v>
      </c>
      <c r="S353" s="25">
        <f t="shared" si="102"/>
        <v>-16</v>
      </c>
      <c r="T353" s="23" t="str">
        <f t="shared" si="103"/>
        <v>No</v>
      </c>
      <c r="U353" s="23"/>
      <c r="V353" s="1" t="s">
        <v>746</v>
      </c>
    </row>
    <row r="354" spans="1:22" x14ac:dyDescent="0.3">
      <c r="A354" s="6">
        <v>353</v>
      </c>
      <c r="B354" s="1" t="s">
        <v>62</v>
      </c>
      <c r="C354" s="1" t="s">
        <v>744</v>
      </c>
      <c r="D354" s="1" t="s">
        <v>749</v>
      </c>
      <c r="E354" s="1">
        <v>1510003502</v>
      </c>
      <c r="F354" s="8" t="s">
        <v>9</v>
      </c>
      <c r="G354" s="1" t="s">
        <v>732</v>
      </c>
      <c r="H354" s="1" t="s">
        <v>66</v>
      </c>
      <c r="I354" s="11">
        <v>46293</v>
      </c>
      <c r="J354" s="11">
        <v>46301</v>
      </c>
      <c r="K354" s="11">
        <v>46302</v>
      </c>
      <c r="L354" s="11">
        <v>46303</v>
      </c>
      <c r="M354" s="1" t="s">
        <v>32</v>
      </c>
      <c r="N354" s="6">
        <v>15</v>
      </c>
      <c r="O354" s="6">
        <v>20</v>
      </c>
      <c r="P354" s="12">
        <f t="shared" si="99"/>
        <v>46307</v>
      </c>
      <c r="Q354" s="12">
        <f t="shared" si="100"/>
        <v>46320</v>
      </c>
      <c r="R354" s="24">
        <f t="shared" si="101"/>
        <v>-6</v>
      </c>
      <c r="S354" s="25">
        <f t="shared" si="102"/>
        <v>-17</v>
      </c>
      <c r="T354" s="23" t="str">
        <f t="shared" si="103"/>
        <v>No</v>
      </c>
      <c r="U354" s="23"/>
      <c r="V354" s="1" t="s">
        <v>746</v>
      </c>
    </row>
    <row r="355" spans="1:22" x14ac:dyDescent="0.3">
      <c r="A355" s="6">
        <v>354</v>
      </c>
      <c r="B355" s="1" t="s">
        <v>28</v>
      </c>
      <c r="C355" s="1" t="s">
        <v>750</v>
      </c>
      <c r="D355" s="1" t="s">
        <v>751</v>
      </c>
      <c r="E355" s="1">
        <v>1510003236</v>
      </c>
      <c r="F355" s="8" t="s">
        <v>9</v>
      </c>
      <c r="G355" s="1" t="s">
        <v>752</v>
      </c>
      <c r="H355" s="1" t="s">
        <v>25</v>
      </c>
      <c r="I355" s="11">
        <v>46289</v>
      </c>
      <c r="J355" s="11">
        <v>46292</v>
      </c>
      <c r="K355" s="11">
        <v>46293</v>
      </c>
      <c r="L355" s="11">
        <v>46297</v>
      </c>
      <c r="M355" s="1" t="s">
        <v>32</v>
      </c>
      <c r="N355" s="6">
        <v>4</v>
      </c>
      <c r="O355" s="6">
        <v>11</v>
      </c>
      <c r="P355" s="12">
        <f t="shared" si="99"/>
        <v>46292</v>
      </c>
      <c r="Q355" s="12">
        <f t="shared" si="100"/>
        <v>46302</v>
      </c>
      <c r="R355" s="24">
        <f t="shared" si="101"/>
        <v>0</v>
      </c>
      <c r="S355" s="25">
        <f t="shared" si="102"/>
        <v>-5</v>
      </c>
      <c r="T355" s="23" t="str">
        <f t="shared" si="103"/>
        <v>No</v>
      </c>
      <c r="U355" s="23"/>
      <c r="V355" s="1" t="s">
        <v>753</v>
      </c>
    </row>
    <row r="356" spans="1:22" x14ac:dyDescent="0.3">
      <c r="A356" s="6">
        <v>355</v>
      </c>
      <c r="B356" s="1" t="s">
        <v>21</v>
      </c>
      <c r="C356" s="1" t="s">
        <v>754</v>
      </c>
      <c r="D356" s="1" t="s">
        <v>755</v>
      </c>
      <c r="E356" s="1">
        <v>9700018781</v>
      </c>
      <c r="F356" s="8" t="s">
        <v>9</v>
      </c>
      <c r="G356" s="1" t="s">
        <v>24</v>
      </c>
      <c r="H356" s="1" t="s">
        <v>25</v>
      </c>
      <c r="I356" s="11">
        <v>46283</v>
      </c>
      <c r="J356" s="11">
        <v>46288</v>
      </c>
      <c r="K356" s="11">
        <v>46293</v>
      </c>
      <c r="L356" s="11">
        <v>46294</v>
      </c>
      <c r="M356" s="1" t="s">
        <v>26</v>
      </c>
      <c r="N356" s="6">
        <v>14</v>
      </c>
      <c r="O356" s="6">
        <v>14</v>
      </c>
      <c r="P356" s="12">
        <f t="shared" si="99"/>
        <v>46296</v>
      </c>
      <c r="Q356" s="12">
        <f t="shared" si="100"/>
        <v>46301</v>
      </c>
      <c r="R356" s="24">
        <f t="shared" si="101"/>
        <v>-8</v>
      </c>
      <c r="S356" s="25">
        <f t="shared" si="102"/>
        <v>-7</v>
      </c>
      <c r="T356" s="23" t="str">
        <f t="shared" si="103"/>
        <v>No</v>
      </c>
      <c r="U356" s="23"/>
      <c r="V356" s="1" t="s">
        <v>756</v>
      </c>
    </row>
    <row r="357" spans="1:22" x14ac:dyDescent="0.3">
      <c r="A357" s="6">
        <v>356</v>
      </c>
      <c r="B357" s="1" t="s">
        <v>21</v>
      </c>
      <c r="C357" s="1" t="s">
        <v>754</v>
      </c>
      <c r="D357" s="1" t="s">
        <v>757</v>
      </c>
      <c r="E357" s="1">
        <v>9700018781</v>
      </c>
      <c r="F357" s="8" t="s">
        <v>9</v>
      </c>
      <c r="G357" s="1" t="s">
        <v>24</v>
      </c>
      <c r="H357" s="1" t="s">
        <v>25</v>
      </c>
      <c r="I357" s="11">
        <v>46283</v>
      </c>
      <c r="J357" s="11">
        <v>46288</v>
      </c>
      <c r="K357" s="11">
        <v>46294</v>
      </c>
      <c r="L357" s="11">
        <v>46294</v>
      </c>
      <c r="M357" s="1" t="s">
        <v>26</v>
      </c>
      <c r="N357" s="6">
        <v>14</v>
      </c>
      <c r="O357" s="6">
        <v>14</v>
      </c>
      <c r="P357" s="12">
        <f t="shared" si="99"/>
        <v>46296</v>
      </c>
      <c r="Q357" s="12">
        <f t="shared" si="100"/>
        <v>46301</v>
      </c>
      <c r="R357" s="24">
        <f t="shared" si="101"/>
        <v>-8</v>
      </c>
      <c r="S357" s="25">
        <f t="shared" si="102"/>
        <v>-7</v>
      </c>
      <c r="T357" s="23" t="str">
        <f t="shared" si="103"/>
        <v>No</v>
      </c>
      <c r="U357" s="23"/>
      <c r="V357" s="1" t="s">
        <v>756</v>
      </c>
    </row>
    <row r="358" spans="1:22" x14ac:dyDescent="0.3">
      <c r="A358" s="6">
        <v>357</v>
      </c>
      <c r="B358" s="1" t="s">
        <v>21</v>
      </c>
      <c r="C358" s="1" t="s">
        <v>754</v>
      </c>
      <c r="D358" s="1" t="s">
        <v>758</v>
      </c>
      <c r="E358" s="1">
        <v>9700018781</v>
      </c>
      <c r="F358" s="8" t="s">
        <v>9</v>
      </c>
      <c r="G358" s="1" t="s">
        <v>24</v>
      </c>
      <c r="H358" s="1" t="s">
        <v>25</v>
      </c>
      <c r="I358" s="11">
        <v>46283</v>
      </c>
      <c r="J358" s="11">
        <v>46288</v>
      </c>
      <c r="K358" s="11">
        <v>46293</v>
      </c>
      <c r="L358" s="11">
        <v>46294</v>
      </c>
      <c r="M358" s="1" t="s">
        <v>26</v>
      </c>
      <c r="N358" s="6">
        <v>14</v>
      </c>
      <c r="O358" s="6">
        <v>14</v>
      </c>
      <c r="P358" s="12">
        <f t="shared" si="99"/>
        <v>46296</v>
      </c>
      <c r="Q358" s="12">
        <f t="shared" si="100"/>
        <v>46301</v>
      </c>
      <c r="R358" s="24">
        <f t="shared" si="101"/>
        <v>-8</v>
      </c>
      <c r="S358" s="25">
        <f t="shared" si="102"/>
        <v>-7</v>
      </c>
      <c r="T358" s="23" t="str">
        <f t="shared" si="103"/>
        <v>No</v>
      </c>
      <c r="U358" s="23"/>
      <c r="V358" s="1" t="s">
        <v>756</v>
      </c>
    </row>
    <row r="359" spans="1:22" x14ac:dyDescent="0.3">
      <c r="A359" s="6">
        <v>358</v>
      </c>
      <c r="B359" s="1" t="s">
        <v>21</v>
      </c>
      <c r="C359" s="1" t="s">
        <v>754</v>
      </c>
      <c r="D359" s="1" t="s">
        <v>759</v>
      </c>
      <c r="E359" s="1">
        <v>9700018781</v>
      </c>
      <c r="F359" s="8" t="s">
        <v>9</v>
      </c>
      <c r="G359" s="1" t="s">
        <v>24</v>
      </c>
      <c r="H359" s="1" t="s">
        <v>25</v>
      </c>
      <c r="I359" s="11">
        <v>46283</v>
      </c>
      <c r="J359" s="11">
        <v>46287</v>
      </c>
      <c r="K359" s="11">
        <v>46290</v>
      </c>
      <c r="L359" s="11">
        <v>46291</v>
      </c>
      <c r="M359" s="1" t="s">
        <v>26</v>
      </c>
      <c r="N359" s="6">
        <v>14</v>
      </c>
      <c r="O359" s="6">
        <v>14</v>
      </c>
      <c r="P359" s="12">
        <f t="shared" si="99"/>
        <v>46296</v>
      </c>
      <c r="Q359" s="12">
        <f t="shared" si="100"/>
        <v>46300</v>
      </c>
      <c r="R359" s="24">
        <f t="shared" si="101"/>
        <v>-9</v>
      </c>
      <c r="S359" s="25">
        <f t="shared" si="102"/>
        <v>-9</v>
      </c>
      <c r="T359" s="23" t="str">
        <f t="shared" si="103"/>
        <v>No</v>
      </c>
      <c r="U359" s="23"/>
      <c r="V359" s="1" t="s">
        <v>756</v>
      </c>
    </row>
    <row r="360" spans="1:22" x14ac:dyDescent="0.3">
      <c r="A360" s="6">
        <v>359</v>
      </c>
      <c r="B360" s="1" t="s">
        <v>21</v>
      </c>
      <c r="C360" s="1" t="s">
        <v>754</v>
      </c>
      <c r="D360" s="1" t="s">
        <v>760</v>
      </c>
      <c r="E360" s="1">
        <v>9700018781</v>
      </c>
      <c r="F360" s="8" t="s">
        <v>9</v>
      </c>
      <c r="G360" s="1" t="s">
        <v>24</v>
      </c>
      <c r="H360" s="1" t="s">
        <v>25</v>
      </c>
      <c r="I360" s="11">
        <v>46283</v>
      </c>
      <c r="J360" s="11">
        <v>46287</v>
      </c>
      <c r="K360" s="11">
        <v>46290</v>
      </c>
      <c r="L360" s="11">
        <v>46291</v>
      </c>
      <c r="M360" s="1" t="s">
        <v>26</v>
      </c>
      <c r="N360" s="6">
        <v>14</v>
      </c>
      <c r="O360" s="6">
        <v>14</v>
      </c>
      <c r="P360" s="12">
        <f t="shared" si="99"/>
        <v>46296</v>
      </c>
      <c r="Q360" s="12">
        <f t="shared" si="100"/>
        <v>46300</v>
      </c>
      <c r="R360" s="24">
        <f t="shared" si="101"/>
        <v>-9</v>
      </c>
      <c r="S360" s="25">
        <f t="shared" si="102"/>
        <v>-9</v>
      </c>
      <c r="T360" s="23" t="str">
        <f t="shared" si="103"/>
        <v>No</v>
      </c>
      <c r="U360" s="23"/>
      <c r="V360" s="1" t="s">
        <v>756</v>
      </c>
    </row>
    <row r="361" spans="1:22" x14ac:dyDescent="0.3">
      <c r="A361" s="6">
        <v>360</v>
      </c>
      <c r="B361" s="1" t="s">
        <v>21</v>
      </c>
      <c r="C361" s="1" t="s">
        <v>754</v>
      </c>
      <c r="D361" s="1" t="s">
        <v>761</v>
      </c>
      <c r="E361" s="1">
        <v>9700018781</v>
      </c>
      <c r="F361" s="8" t="s">
        <v>9</v>
      </c>
      <c r="G361" s="1" t="s">
        <v>24</v>
      </c>
      <c r="H361" s="1" t="s">
        <v>25</v>
      </c>
      <c r="I361" s="11">
        <v>46283</v>
      </c>
      <c r="J361" s="11">
        <v>46287</v>
      </c>
      <c r="K361" s="11">
        <v>46288</v>
      </c>
      <c r="L361" s="11">
        <v>46289</v>
      </c>
      <c r="M361" s="1" t="s">
        <v>26</v>
      </c>
      <c r="N361" s="6">
        <v>14</v>
      </c>
      <c r="O361" s="6">
        <v>14</v>
      </c>
      <c r="P361" s="12">
        <f t="shared" si="99"/>
        <v>46296</v>
      </c>
      <c r="Q361" s="12">
        <f t="shared" si="100"/>
        <v>46300</v>
      </c>
      <c r="R361" s="24">
        <f t="shared" si="101"/>
        <v>-9</v>
      </c>
      <c r="S361" s="25">
        <f t="shared" si="102"/>
        <v>-11</v>
      </c>
      <c r="T361" s="23" t="str">
        <f t="shared" si="103"/>
        <v>No</v>
      </c>
      <c r="U361" s="23"/>
      <c r="V361" s="1" t="s">
        <v>756</v>
      </c>
    </row>
    <row r="362" spans="1:22" x14ac:dyDescent="0.3">
      <c r="A362" s="6">
        <v>361</v>
      </c>
      <c r="B362" s="1" t="s">
        <v>41</v>
      </c>
      <c r="C362" s="1" t="s">
        <v>762</v>
      </c>
      <c r="D362" s="1" t="s">
        <v>763</v>
      </c>
      <c r="E362" s="1">
        <v>1510002950</v>
      </c>
      <c r="F362" s="8" t="s">
        <v>9</v>
      </c>
      <c r="G362" s="1" t="s">
        <v>44</v>
      </c>
      <c r="H362" s="1" t="s">
        <v>25</v>
      </c>
      <c r="I362" s="11">
        <v>46285</v>
      </c>
      <c r="J362" s="11">
        <v>46288</v>
      </c>
      <c r="K362" s="11">
        <v>46294</v>
      </c>
      <c r="L362" s="11">
        <v>46294</v>
      </c>
      <c r="M362" s="1" t="s">
        <v>26</v>
      </c>
      <c r="N362" s="6">
        <v>14</v>
      </c>
      <c r="O362" s="6">
        <v>14</v>
      </c>
      <c r="P362" s="12">
        <f t="shared" si="99"/>
        <v>46298</v>
      </c>
      <c r="Q362" s="12">
        <f t="shared" si="100"/>
        <v>46301</v>
      </c>
      <c r="R362" s="24">
        <f t="shared" si="101"/>
        <v>-10</v>
      </c>
      <c r="S362" s="25">
        <f t="shared" si="102"/>
        <v>-7</v>
      </c>
      <c r="T362" s="23" t="str">
        <f t="shared" si="103"/>
        <v>No</v>
      </c>
      <c r="U362" s="23"/>
      <c r="V362" s="1" t="s">
        <v>764</v>
      </c>
    </row>
    <row r="363" spans="1:22" x14ac:dyDescent="0.3">
      <c r="A363" s="6">
        <v>362</v>
      </c>
      <c r="B363" s="1" t="s">
        <v>21</v>
      </c>
      <c r="C363" s="1" t="s">
        <v>765</v>
      </c>
      <c r="D363" s="1" t="s">
        <v>766</v>
      </c>
      <c r="E363" s="1">
        <v>9700018812</v>
      </c>
      <c r="F363" s="8" t="s">
        <v>9</v>
      </c>
      <c r="G363" s="1" t="s">
        <v>361</v>
      </c>
      <c r="H363" s="1" t="s">
        <v>25</v>
      </c>
      <c r="I363" s="11">
        <v>46285</v>
      </c>
      <c r="J363" s="11">
        <v>46291</v>
      </c>
      <c r="K363" s="11">
        <v>46294</v>
      </c>
      <c r="L363" s="11">
        <v>46294</v>
      </c>
      <c r="M363" s="1" t="s">
        <v>26</v>
      </c>
      <c r="N363" s="6">
        <v>18</v>
      </c>
      <c r="O363" s="6">
        <v>14</v>
      </c>
      <c r="P363" s="12">
        <f t="shared" si="99"/>
        <v>46302</v>
      </c>
      <c r="Q363" s="12">
        <f t="shared" si="100"/>
        <v>46304</v>
      </c>
      <c r="R363" s="24">
        <f t="shared" si="101"/>
        <v>-11</v>
      </c>
      <c r="S363" s="25">
        <f t="shared" si="102"/>
        <v>-10</v>
      </c>
      <c r="T363" s="23" t="str">
        <f t="shared" si="103"/>
        <v>No</v>
      </c>
      <c r="U363" s="23"/>
      <c r="V363" s="1" t="s">
        <v>767</v>
      </c>
    </row>
    <row r="364" spans="1:22" x14ac:dyDescent="0.3">
      <c r="A364" s="6">
        <v>363</v>
      </c>
      <c r="B364" s="1" t="s">
        <v>21</v>
      </c>
      <c r="C364" s="1" t="s">
        <v>765</v>
      </c>
      <c r="D364" s="1" t="s">
        <v>768</v>
      </c>
      <c r="E364" s="1">
        <v>9700018812</v>
      </c>
      <c r="F364" s="8" t="s">
        <v>9</v>
      </c>
      <c r="G364" s="1" t="s">
        <v>361</v>
      </c>
      <c r="H364" s="1" t="s">
        <v>25</v>
      </c>
      <c r="I364" s="11">
        <v>46285</v>
      </c>
      <c r="J364" s="11">
        <v>46291</v>
      </c>
      <c r="K364" s="11">
        <v>46295</v>
      </c>
      <c r="L364" s="11">
        <v>46295</v>
      </c>
      <c r="M364" s="1" t="s">
        <v>26</v>
      </c>
      <c r="N364" s="6">
        <v>18</v>
      </c>
      <c r="O364" s="6">
        <v>14</v>
      </c>
      <c r="P364" s="12">
        <f t="shared" si="99"/>
        <v>46302</v>
      </c>
      <c r="Q364" s="12">
        <f t="shared" si="100"/>
        <v>46304</v>
      </c>
      <c r="R364" s="24">
        <f t="shared" si="101"/>
        <v>-11</v>
      </c>
      <c r="S364" s="25">
        <f t="shared" si="102"/>
        <v>-9</v>
      </c>
      <c r="T364" s="23" t="str">
        <f t="shared" si="103"/>
        <v>No</v>
      </c>
      <c r="U364" s="23"/>
      <c r="V364" s="1" t="s">
        <v>767</v>
      </c>
    </row>
    <row r="365" spans="1:22" x14ac:dyDescent="0.3">
      <c r="A365" s="6">
        <v>364</v>
      </c>
      <c r="B365" s="1" t="s">
        <v>21</v>
      </c>
      <c r="C365" s="1" t="s">
        <v>765</v>
      </c>
      <c r="D365" s="1" t="s">
        <v>769</v>
      </c>
      <c r="E365" s="1">
        <v>9700018812</v>
      </c>
      <c r="F365" s="8" t="s">
        <v>9</v>
      </c>
      <c r="G365" s="1" t="s">
        <v>361</v>
      </c>
      <c r="H365" s="1" t="s">
        <v>25</v>
      </c>
      <c r="I365" s="11">
        <v>46285</v>
      </c>
      <c r="J365" s="11">
        <v>46292</v>
      </c>
      <c r="K365" s="11">
        <v>46296</v>
      </c>
      <c r="L365" s="11">
        <v>46298</v>
      </c>
      <c r="M365" s="1" t="s">
        <v>26</v>
      </c>
      <c r="N365" s="6">
        <v>18</v>
      </c>
      <c r="O365" s="6">
        <v>14</v>
      </c>
      <c r="P365" s="12">
        <f t="shared" si="99"/>
        <v>46302</v>
      </c>
      <c r="Q365" s="12">
        <f t="shared" si="100"/>
        <v>46305</v>
      </c>
      <c r="R365" s="24">
        <f t="shared" si="101"/>
        <v>-10</v>
      </c>
      <c r="S365" s="25">
        <f t="shared" si="102"/>
        <v>-7</v>
      </c>
      <c r="T365" s="23" t="str">
        <f t="shared" si="103"/>
        <v>No</v>
      </c>
      <c r="U365" s="23"/>
      <c r="V365" s="1" t="s">
        <v>767</v>
      </c>
    </row>
    <row r="366" spans="1:22" x14ac:dyDescent="0.3">
      <c r="A366" s="6">
        <v>365</v>
      </c>
      <c r="B366" s="1" t="s">
        <v>21</v>
      </c>
      <c r="C366" s="1" t="s">
        <v>765</v>
      </c>
      <c r="D366" s="1" t="s">
        <v>770</v>
      </c>
      <c r="E366" s="1">
        <v>9700018812</v>
      </c>
      <c r="F366" s="8" t="s">
        <v>9</v>
      </c>
      <c r="G366" s="1" t="s">
        <v>361</v>
      </c>
      <c r="H366" s="1" t="s">
        <v>25</v>
      </c>
      <c r="I366" s="11">
        <v>46285</v>
      </c>
      <c r="J366" s="11">
        <v>46291</v>
      </c>
      <c r="K366" s="11">
        <v>46295</v>
      </c>
      <c r="L366" s="11">
        <v>46296</v>
      </c>
      <c r="M366" s="1" t="s">
        <v>26</v>
      </c>
      <c r="N366" s="6">
        <v>18</v>
      </c>
      <c r="O366" s="6">
        <v>14</v>
      </c>
      <c r="P366" s="12">
        <f t="shared" si="99"/>
        <v>46302</v>
      </c>
      <c r="Q366" s="12">
        <f t="shared" si="100"/>
        <v>46304</v>
      </c>
      <c r="R366" s="24">
        <f t="shared" si="101"/>
        <v>-11</v>
      </c>
      <c r="S366" s="25">
        <f t="shared" si="102"/>
        <v>-8</v>
      </c>
      <c r="T366" s="23" t="str">
        <f t="shared" si="103"/>
        <v>No</v>
      </c>
      <c r="U366" s="23"/>
      <c r="V366" s="1" t="s">
        <v>767</v>
      </c>
    </row>
    <row r="367" spans="1:22" x14ac:dyDescent="0.3">
      <c r="A367" s="6">
        <v>366</v>
      </c>
      <c r="B367" s="1" t="s">
        <v>21</v>
      </c>
      <c r="C367" s="1" t="s">
        <v>765</v>
      </c>
      <c r="D367" s="1" t="s">
        <v>771</v>
      </c>
      <c r="E367" s="1">
        <v>9700018812</v>
      </c>
      <c r="F367" s="8" t="s">
        <v>9</v>
      </c>
      <c r="G367" s="1" t="s">
        <v>361</v>
      </c>
      <c r="H367" s="1" t="s">
        <v>25</v>
      </c>
      <c r="I367" s="11">
        <v>46285</v>
      </c>
      <c r="J367" s="11">
        <v>46291</v>
      </c>
      <c r="K367" s="11">
        <v>46296</v>
      </c>
      <c r="L367" s="11">
        <v>46298</v>
      </c>
      <c r="M367" s="1" t="s">
        <v>26</v>
      </c>
      <c r="N367" s="6">
        <v>18</v>
      </c>
      <c r="O367" s="6">
        <v>14</v>
      </c>
      <c r="P367" s="12">
        <f t="shared" si="99"/>
        <v>46302</v>
      </c>
      <c r="Q367" s="12">
        <f t="shared" si="100"/>
        <v>46304</v>
      </c>
      <c r="R367" s="24">
        <f t="shared" si="101"/>
        <v>-11</v>
      </c>
      <c r="S367" s="25">
        <f t="shared" si="102"/>
        <v>-6</v>
      </c>
      <c r="T367" s="23" t="str">
        <f t="shared" si="103"/>
        <v>No</v>
      </c>
      <c r="U367" s="23"/>
      <c r="V367" s="1" t="s">
        <v>767</v>
      </c>
    </row>
    <row r="368" spans="1:22" x14ac:dyDescent="0.3">
      <c r="A368" s="6">
        <v>367</v>
      </c>
      <c r="B368" s="1" t="s">
        <v>21</v>
      </c>
      <c r="C368" s="1" t="s">
        <v>765</v>
      </c>
      <c r="D368" s="1" t="s">
        <v>772</v>
      </c>
      <c r="E368" s="1">
        <v>9700018812</v>
      </c>
      <c r="F368" s="8" t="s">
        <v>9</v>
      </c>
      <c r="G368" s="1" t="s">
        <v>773</v>
      </c>
      <c r="H368" s="1" t="s">
        <v>25</v>
      </c>
      <c r="I368" s="11">
        <v>46285</v>
      </c>
      <c r="J368" s="11">
        <v>46291</v>
      </c>
      <c r="K368" s="11">
        <v>46296</v>
      </c>
      <c r="L368" s="11">
        <v>46298</v>
      </c>
      <c r="M368" s="1" t="s">
        <v>26</v>
      </c>
      <c r="N368" s="6">
        <v>18</v>
      </c>
      <c r="O368" s="6">
        <v>14</v>
      </c>
      <c r="P368" s="12">
        <f t="shared" si="99"/>
        <v>46302</v>
      </c>
      <c r="Q368" s="12">
        <f t="shared" si="100"/>
        <v>46304</v>
      </c>
      <c r="R368" s="24">
        <f t="shared" si="101"/>
        <v>-11</v>
      </c>
      <c r="S368" s="25">
        <f t="shared" si="102"/>
        <v>-6</v>
      </c>
      <c r="T368" s="23" t="str">
        <f t="shared" si="103"/>
        <v>No</v>
      </c>
      <c r="U368" s="23"/>
      <c r="V368" s="1" t="s">
        <v>767</v>
      </c>
    </row>
    <row r="369" spans="1:22" x14ac:dyDescent="0.3">
      <c r="A369" s="6">
        <v>368</v>
      </c>
      <c r="B369" s="1" t="s">
        <v>21</v>
      </c>
      <c r="C369" s="1" t="s">
        <v>765</v>
      </c>
      <c r="D369" s="1" t="s">
        <v>774</v>
      </c>
      <c r="E369" s="1">
        <v>9700018812</v>
      </c>
      <c r="F369" s="8" t="s">
        <v>9</v>
      </c>
      <c r="G369" s="1" t="s">
        <v>773</v>
      </c>
      <c r="H369" s="1" t="s">
        <v>25</v>
      </c>
      <c r="I369" s="11">
        <v>46285</v>
      </c>
      <c r="J369" s="11">
        <v>46294</v>
      </c>
      <c r="K369" s="11">
        <v>46296</v>
      </c>
      <c r="L369" s="11">
        <v>46296</v>
      </c>
      <c r="M369" s="1" t="s">
        <v>26</v>
      </c>
      <c r="N369" s="6">
        <v>18</v>
      </c>
      <c r="O369" s="6">
        <v>14</v>
      </c>
      <c r="P369" s="12">
        <f t="shared" si="99"/>
        <v>46302</v>
      </c>
      <c r="Q369" s="12">
        <f t="shared" si="100"/>
        <v>46307</v>
      </c>
      <c r="R369" s="24">
        <f t="shared" si="101"/>
        <v>-8</v>
      </c>
      <c r="S369" s="25">
        <f t="shared" si="102"/>
        <v>-11</v>
      </c>
      <c r="T369" s="23" t="str">
        <f t="shared" si="103"/>
        <v>No</v>
      </c>
      <c r="U369" s="23"/>
      <c r="V369" s="1" t="s">
        <v>767</v>
      </c>
    </row>
    <row r="370" spans="1:22" x14ac:dyDescent="0.3">
      <c r="A370" s="6">
        <v>369</v>
      </c>
      <c r="B370" s="1" t="s">
        <v>21</v>
      </c>
      <c r="C370" s="1" t="s">
        <v>765</v>
      </c>
      <c r="D370" s="1" t="s">
        <v>775</v>
      </c>
      <c r="E370" s="1">
        <v>9700018812</v>
      </c>
      <c r="F370" s="8" t="s">
        <v>9</v>
      </c>
      <c r="G370" s="1" t="s">
        <v>773</v>
      </c>
      <c r="H370" s="1" t="s">
        <v>25</v>
      </c>
      <c r="I370" s="11">
        <v>46285</v>
      </c>
      <c r="J370" s="11">
        <v>46294</v>
      </c>
      <c r="K370" s="11">
        <v>46297</v>
      </c>
      <c r="L370" s="11">
        <v>46298</v>
      </c>
      <c r="M370" s="1" t="s">
        <v>26</v>
      </c>
      <c r="N370" s="6">
        <v>18</v>
      </c>
      <c r="O370" s="6">
        <v>14</v>
      </c>
      <c r="P370" s="12">
        <f t="shared" si="99"/>
        <v>46302</v>
      </c>
      <c r="Q370" s="12">
        <f t="shared" si="100"/>
        <v>46307</v>
      </c>
      <c r="R370" s="24">
        <f t="shared" si="101"/>
        <v>-8</v>
      </c>
      <c r="S370" s="25">
        <f t="shared" si="102"/>
        <v>-9</v>
      </c>
      <c r="T370" s="23" t="str">
        <f t="shared" si="103"/>
        <v>No</v>
      </c>
      <c r="U370" s="23"/>
      <c r="V370" s="1" t="s">
        <v>767</v>
      </c>
    </row>
    <row r="371" spans="1:22" x14ac:dyDescent="0.3">
      <c r="A371" s="6">
        <v>370</v>
      </c>
      <c r="B371" s="1" t="s">
        <v>21</v>
      </c>
      <c r="C371" s="1" t="s">
        <v>765</v>
      </c>
      <c r="D371" s="1" t="s">
        <v>776</v>
      </c>
      <c r="E371" s="1">
        <v>9700018812</v>
      </c>
      <c r="F371" s="8" t="s">
        <v>9</v>
      </c>
      <c r="G371" s="1" t="s">
        <v>773</v>
      </c>
      <c r="H371" s="1" t="s">
        <v>25</v>
      </c>
      <c r="I371" s="11">
        <v>46285</v>
      </c>
      <c r="J371" s="11">
        <v>46294</v>
      </c>
      <c r="K371" s="11">
        <v>46301</v>
      </c>
      <c r="L371" s="11">
        <v>46302</v>
      </c>
      <c r="M371" s="1" t="s">
        <v>26</v>
      </c>
      <c r="N371" s="6">
        <v>18</v>
      </c>
      <c r="O371" s="6">
        <v>14</v>
      </c>
      <c r="P371" s="12">
        <f t="shared" si="99"/>
        <v>46302</v>
      </c>
      <c r="Q371" s="12">
        <f t="shared" si="100"/>
        <v>46307</v>
      </c>
      <c r="R371" s="24">
        <f t="shared" si="101"/>
        <v>-8</v>
      </c>
      <c r="S371" s="25">
        <f t="shared" si="102"/>
        <v>-5</v>
      </c>
      <c r="T371" s="23" t="str">
        <f t="shared" si="103"/>
        <v>No</v>
      </c>
      <c r="U371" s="23"/>
      <c r="V371" s="1" t="s">
        <v>767</v>
      </c>
    </row>
    <row r="372" spans="1:22" x14ac:dyDescent="0.3">
      <c r="A372" s="6">
        <v>371</v>
      </c>
      <c r="B372" s="1" t="s">
        <v>21</v>
      </c>
      <c r="C372" s="1" t="s">
        <v>765</v>
      </c>
      <c r="D372" s="1" t="s">
        <v>777</v>
      </c>
      <c r="E372" s="1">
        <v>9700018812</v>
      </c>
      <c r="F372" s="8" t="s">
        <v>9</v>
      </c>
      <c r="G372" s="1" t="s">
        <v>773</v>
      </c>
      <c r="H372" s="1" t="s">
        <v>25</v>
      </c>
      <c r="I372" s="11">
        <v>46285</v>
      </c>
      <c r="J372" s="11">
        <v>46296</v>
      </c>
      <c r="K372" s="11">
        <v>46301</v>
      </c>
      <c r="L372" s="11">
        <v>46302</v>
      </c>
      <c r="M372" s="1" t="s">
        <v>26</v>
      </c>
      <c r="N372" s="6">
        <v>18</v>
      </c>
      <c r="O372" s="6">
        <v>14</v>
      </c>
      <c r="P372" s="12">
        <f t="shared" si="99"/>
        <v>46302</v>
      </c>
      <c r="Q372" s="12">
        <f t="shared" si="100"/>
        <v>46309</v>
      </c>
      <c r="R372" s="24">
        <f t="shared" si="101"/>
        <v>-6</v>
      </c>
      <c r="S372" s="25">
        <f t="shared" si="102"/>
        <v>-7</v>
      </c>
      <c r="T372" s="23" t="str">
        <f t="shared" si="103"/>
        <v>No</v>
      </c>
      <c r="U372" s="23"/>
      <c r="V372" s="1" t="s">
        <v>778</v>
      </c>
    </row>
    <row r="373" spans="1:22" x14ac:dyDescent="0.3">
      <c r="A373" s="6">
        <v>372</v>
      </c>
      <c r="B373" s="1" t="s">
        <v>21</v>
      </c>
      <c r="C373" s="1" t="s">
        <v>779</v>
      </c>
      <c r="D373" s="1" t="s">
        <v>780</v>
      </c>
      <c r="E373" s="1">
        <v>9700018813</v>
      </c>
      <c r="F373" s="8" t="s">
        <v>9</v>
      </c>
      <c r="G373" s="1" t="s">
        <v>781</v>
      </c>
      <c r="H373" s="1" t="s">
        <v>25</v>
      </c>
      <c r="I373" s="11">
        <v>46285</v>
      </c>
      <c r="J373" s="11">
        <v>46295</v>
      </c>
      <c r="K373" s="11">
        <v>46301</v>
      </c>
      <c r="L373" s="11">
        <v>46302</v>
      </c>
      <c r="M373" s="1" t="s">
        <v>26</v>
      </c>
      <c r="N373" s="6">
        <v>18</v>
      </c>
      <c r="O373" s="6">
        <v>14</v>
      </c>
      <c r="P373" s="12">
        <f t="shared" si="99"/>
        <v>46302</v>
      </c>
      <c r="Q373" s="12">
        <f t="shared" si="100"/>
        <v>46308</v>
      </c>
      <c r="R373" s="24">
        <f t="shared" si="101"/>
        <v>-7</v>
      </c>
      <c r="S373" s="25">
        <f t="shared" si="102"/>
        <v>-6</v>
      </c>
      <c r="T373" s="23" t="str">
        <f t="shared" si="103"/>
        <v>No</v>
      </c>
      <c r="U373" s="23"/>
      <c r="V373" s="1" t="s">
        <v>782</v>
      </c>
    </row>
    <row r="374" spans="1:22" x14ac:dyDescent="0.3">
      <c r="A374" s="6">
        <v>373</v>
      </c>
      <c r="B374" s="1" t="s">
        <v>21</v>
      </c>
      <c r="C374" s="1" t="s">
        <v>779</v>
      </c>
      <c r="D374" s="1" t="s">
        <v>783</v>
      </c>
      <c r="E374" s="1">
        <v>9700018813</v>
      </c>
      <c r="F374" s="8" t="s">
        <v>9</v>
      </c>
      <c r="G374" s="1" t="s">
        <v>781</v>
      </c>
      <c r="H374" s="1" t="s">
        <v>25</v>
      </c>
      <c r="I374" s="11">
        <v>46285</v>
      </c>
      <c r="J374" s="11">
        <v>46295</v>
      </c>
      <c r="K374" s="11">
        <v>46300</v>
      </c>
      <c r="L374" s="11">
        <v>46301</v>
      </c>
      <c r="M374" s="1" t="s">
        <v>26</v>
      </c>
      <c r="N374" s="6">
        <v>18</v>
      </c>
      <c r="O374" s="6">
        <v>14</v>
      </c>
      <c r="P374" s="12">
        <f t="shared" si="99"/>
        <v>46302</v>
      </c>
      <c r="Q374" s="12">
        <f t="shared" si="100"/>
        <v>46308</v>
      </c>
      <c r="R374" s="24">
        <f t="shared" si="101"/>
        <v>-7</v>
      </c>
      <c r="S374" s="25">
        <f t="shared" si="102"/>
        <v>-7</v>
      </c>
      <c r="T374" s="23" t="str">
        <f t="shared" si="103"/>
        <v>No</v>
      </c>
      <c r="U374" s="23"/>
      <c r="V374" s="1" t="s">
        <v>782</v>
      </c>
    </row>
    <row r="375" spans="1:22" x14ac:dyDescent="0.3">
      <c r="A375" s="6">
        <v>374</v>
      </c>
      <c r="B375" s="1" t="s">
        <v>21</v>
      </c>
      <c r="C375" s="1" t="s">
        <v>779</v>
      </c>
      <c r="D375" s="1" t="s">
        <v>784</v>
      </c>
      <c r="E375" s="1">
        <v>9700018813</v>
      </c>
      <c r="F375" s="8" t="s">
        <v>9</v>
      </c>
      <c r="G375" s="1" t="s">
        <v>781</v>
      </c>
      <c r="H375" s="1" t="s">
        <v>25</v>
      </c>
      <c r="I375" s="11">
        <v>46285</v>
      </c>
      <c r="J375" s="11">
        <v>46296</v>
      </c>
      <c r="K375" s="11">
        <v>46303</v>
      </c>
      <c r="L375" s="11">
        <v>46304</v>
      </c>
      <c r="M375" s="1" t="s">
        <v>26</v>
      </c>
      <c r="N375" s="6">
        <v>18</v>
      </c>
      <c r="O375" s="6">
        <v>14</v>
      </c>
      <c r="P375" s="12">
        <f t="shared" si="99"/>
        <v>46302</v>
      </c>
      <c r="Q375" s="12">
        <f t="shared" si="100"/>
        <v>46309</v>
      </c>
      <c r="R375" s="24">
        <f t="shared" si="101"/>
        <v>-6</v>
      </c>
      <c r="S375" s="25">
        <f t="shared" si="102"/>
        <v>-5</v>
      </c>
      <c r="T375" s="23" t="str">
        <f t="shared" si="103"/>
        <v>No</v>
      </c>
      <c r="U375" s="23"/>
      <c r="V375" s="1" t="s">
        <v>782</v>
      </c>
    </row>
    <row r="376" spans="1:22" x14ac:dyDescent="0.3">
      <c r="A376" s="6">
        <v>375</v>
      </c>
      <c r="B376" s="1" t="s">
        <v>21</v>
      </c>
      <c r="C376" s="1" t="s">
        <v>779</v>
      </c>
      <c r="D376" s="1" t="s">
        <v>785</v>
      </c>
      <c r="E376" s="1">
        <v>9700018813</v>
      </c>
      <c r="F376" s="8" t="s">
        <v>9</v>
      </c>
      <c r="G376" s="1" t="s">
        <v>781</v>
      </c>
      <c r="H376" s="1" t="s">
        <v>25</v>
      </c>
      <c r="I376" s="11">
        <v>46285</v>
      </c>
      <c r="J376" s="11">
        <v>46295</v>
      </c>
      <c r="K376" s="11">
        <v>46303</v>
      </c>
      <c r="L376" s="11">
        <v>46304</v>
      </c>
      <c r="M376" s="1" t="s">
        <v>26</v>
      </c>
      <c r="N376" s="6">
        <v>18</v>
      </c>
      <c r="O376" s="6">
        <v>14</v>
      </c>
      <c r="P376" s="12">
        <f t="shared" si="99"/>
        <v>46302</v>
      </c>
      <c r="Q376" s="12">
        <f t="shared" si="100"/>
        <v>46308</v>
      </c>
      <c r="R376" s="24">
        <f t="shared" si="101"/>
        <v>-7</v>
      </c>
      <c r="S376" s="25">
        <f t="shared" si="102"/>
        <v>-4</v>
      </c>
      <c r="T376" s="23" t="str">
        <f t="shared" si="103"/>
        <v>No</v>
      </c>
      <c r="U376" s="23"/>
      <c r="V376" s="1" t="s">
        <v>782</v>
      </c>
    </row>
    <row r="377" spans="1:22" x14ac:dyDescent="0.3">
      <c r="A377" s="6">
        <v>376</v>
      </c>
      <c r="B377" s="1" t="s">
        <v>21</v>
      </c>
      <c r="C377" s="1" t="s">
        <v>779</v>
      </c>
      <c r="D377" s="1" t="s">
        <v>786</v>
      </c>
      <c r="E377" s="1">
        <v>9700018813</v>
      </c>
      <c r="F377" s="8" t="s">
        <v>9</v>
      </c>
      <c r="G377" s="1" t="s">
        <v>781</v>
      </c>
      <c r="H377" s="1" t="s">
        <v>25</v>
      </c>
      <c r="I377" s="11">
        <v>46285</v>
      </c>
      <c r="J377" s="11">
        <v>46297</v>
      </c>
      <c r="K377" s="11">
        <v>46301</v>
      </c>
      <c r="L377" s="11">
        <v>46301</v>
      </c>
      <c r="M377" s="1" t="s">
        <v>26</v>
      </c>
      <c r="N377" s="6">
        <v>18</v>
      </c>
      <c r="O377" s="6">
        <v>14</v>
      </c>
      <c r="P377" s="12">
        <f t="shared" si="99"/>
        <v>46302</v>
      </c>
      <c r="Q377" s="12">
        <f t="shared" si="100"/>
        <v>46310</v>
      </c>
      <c r="R377" s="24">
        <f t="shared" si="101"/>
        <v>-5</v>
      </c>
      <c r="S377" s="25">
        <f t="shared" si="102"/>
        <v>-9</v>
      </c>
      <c r="T377" s="23" t="str">
        <f t="shared" si="103"/>
        <v>No</v>
      </c>
      <c r="U377" s="23"/>
      <c r="V377" s="1" t="s">
        <v>782</v>
      </c>
    </row>
    <row r="378" spans="1:22" x14ac:dyDescent="0.3">
      <c r="A378" s="6">
        <v>377</v>
      </c>
      <c r="B378" s="1" t="s">
        <v>21</v>
      </c>
      <c r="C378" s="1" t="s">
        <v>779</v>
      </c>
      <c r="D378" s="1" t="s">
        <v>787</v>
      </c>
      <c r="E378" s="1">
        <v>9700018813</v>
      </c>
      <c r="F378" s="8" t="s">
        <v>9</v>
      </c>
      <c r="G378" s="1" t="s">
        <v>788</v>
      </c>
      <c r="H378" s="1" t="s">
        <v>25</v>
      </c>
      <c r="I378" s="11">
        <v>46285</v>
      </c>
      <c r="J378" s="11">
        <v>46298</v>
      </c>
      <c r="K378" s="11">
        <v>46302</v>
      </c>
      <c r="L378" s="11">
        <v>46303</v>
      </c>
      <c r="M378" s="1" t="s">
        <v>26</v>
      </c>
      <c r="N378" s="6">
        <v>18</v>
      </c>
      <c r="O378" s="6">
        <v>14</v>
      </c>
      <c r="P378" s="12">
        <f t="shared" si="99"/>
        <v>46302</v>
      </c>
      <c r="Q378" s="12">
        <f t="shared" si="100"/>
        <v>46311</v>
      </c>
      <c r="R378" s="24">
        <f t="shared" si="101"/>
        <v>-4</v>
      </c>
      <c r="S378" s="25">
        <f t="shared" si="102"/>
        <v>-8</v>
      </c>
      <c r="T378" s="23" t="str">
        <f t="shared" si="103"/>
        <v>No</v>
      </c>
      <c r="U378" s="23"/>
      <c r="V378" s="1" t="s">
        <v>782</v>
      </c>
    </row>
    <row r="379" spans="1:22" x14ac:dyDescent="0.3">
      <c r="A379" s="6">
        <v>378</v>
      </c>
      <c r="B379" s="1" t="s">
        <v>21</v>
      </c>
      <c r="C379" s="1" t="s">
        <v>779</v>
      </c>
      <c r="D379" s="1" t="s">
        <v>789</v>
      </c>
      <c r="E379" s="1">
        <v>9700018813</v>
      </c>
      <c r="F379" s="8" t="s">
        <v>9</v>
      </c>
      <c r="G379" s="1" t="s">
        <v>790</v>
      </c>
      <c r="H379" s="1" t="s">
        <v>25</v>
      </c>
      <c r="I379" s="11">
        <v>46285</v>
      </c>
      <c r="J379" s="11">
        <v>46296</v>
      </c>
      <c r="K379" s="11">
        <v>46302</v>
      </c>
      <c r="L379" s="11">
        <v>46302</v>
      </c>
      <c r="M379" s="1" t="s">
        <v>26</v>
      </c>
      <c r="N379" s="6">
        <v>18</v>
      </c>
      <c r="O379" s="6">
        <v>14</v>
      </c>
      <c r="P379" s="12">
        <f t="shared" si="99"/>
        <v>46302</v>
      </c>
      <c r="Q379" s="12">
        <f t="shared" si="100"/>
        <v>46309</v>
      </c>
      <c r="R379" s="24">
        <f t="shared" si="101"/>
        <v>-6</v>
      </c>
      <c r="S379" s="25">
        <f t="shared" si="102"/>
        <v>-7</v>
      </c>
      <c r="T379" s="23" t="str">
        <f t="shared" si="103"/>
        <v>No</v>
      </c>
      <c r="U379" s="23"/>
      <c r="V379" s="1" t="s">
        <v>782</v>
      </c>
    </row>
    <row r="380" spans="1:22" x14ac:dyDescent="0.3">
      <c r="A380" s="6">
        <v>379</v>
      </c>
      <c r="B380" s="1" t="s">
        <v>21</v>
      </c>
      <c r="C380" s="1" t="s">
        <v>779</v>
      </c>
      <c r="D380" s="1" t="s">
        <v>791</v>
      </c>
      <c r="E380" s="1">
        <v>9700018813</v>
      </c>
      <c r="F380" s="8" t="s">
        <v>9</v>
      </c>
      <c r="G380" s="1" t="s">
        <v>792</v>
      </c>
      <c r="H380" s="1" t="s">
        <v>25</v>
      </c>
      <c r="I380" s="11">
        <v>46285</v>
      </c>
      <c r="J380" s="11">
        <v>46298</v>
      </c>
      <c r="K380" s="11">
        <v>46302</v>
      </c>
      <c r="L380" s="11">
        <v>46303</v>
      </c>
      <c r="M380" s="1" t="s">
        <v>26</v>
      </c>
      <c r="N380" s="6">
        <v>18</v>
      </c>
      <c r="O380" s="6">
        <v>14</v>
      </c>
      <c r="P380" s="12">
        <f t="shared" si="99"/>
        <v>46302</v>
      </c>
      <c r="Q380" s="12">
        <f t="shared" si="100"/>
        <v>46311</v>
      </c>
      <c r="R380" s="24">
        <f t="shared" si="101"/>
        <v>-4</v>
      </c>
      <c r="S380" s="25">
        <f t="shared" si="102"/>
        <v>-8</v>
      </c>
      <c r="T380" s="23" t="str">
        <f t="shared" si="103"/>
        <v>No</v>
      </c>
      <c r="U380" s="23"/>
      <c r="V380" s="1" t="s">
        <v>782</v>
      </c>
    </row>
    <row r="381" spans="1:22" x14ac:dyDescent="0.3">
      <c r="A381" s="6">
        <v>380</v>
      </c>
      <c r="B381" s="1" t="s">
        <v>21</v>
      </c>
      <c r="C381" s="1" t="s">
        <v>779</v>
      </c>
      <c r="D381" s="1" t="s">
        <v>793</v>
      </c>
      <c r="E381" s="1">
        <v>9700018813</v>
      </c>
      <c r="F381" s="8" t="s">
        <v>9</v>
      </c>
      <c r="G381" s="1" t="s">
        <v>794</v>
      </c>
      <c r="H381" s="1" t="s">
        <v>25</v>
      </c>
      <c r="I381" s="11">
        <v>46285</v>
      </c>
      <c r="J381" s="11">
        <v>46298</v>
      </c>
      <c r="K381" s="11">
        <v>46302</v>
      </c>
      <c r="L381" s="11">
        <v>46302</v>
      </c>
      <c r="M381" s="1" t="s">
        <v>26</v>
      </c>
      <c r="N381" s="6">
        <v>18</v>
      </c>
      <c r="O381" s="6">
        <v>14</v>
      </c>
      <c r="P381" s="12">
        <f t="shared" si="99"/>
        <v>46302</v>
      </c>
      <c r="Q381" s="12">
        <f t="shared" si="100"/>
        <v>46311</v>
      </c>
      <c r="R381" s="24">
        <f t="shared" si="101"/>
        <v>-4</v>
      </c>
      <c r="S381" s="25">
        <f t="shared" si="102"/>
        <v>-9</v>
      </c>
      <c r="T381" s="23" t="str">
        <f t="shared" si="103"/>
        <v>No</v>
      </c>
      <c r="U381" s="23"/>
      <c r="V381" s="1" t="s">
        <v>782</v>
      </c>
    </row>
    <row r="382" spans="1:22" x14ac:dyDescent="0.3">
      <c r="A382" s="6">
        <v>381</v>
      </c>
      <c r="B382" s="1" t="s">
        <v>317</v>
      </c>
      <c r="C382" s="1" t="s">
        <v>795</v>
      </c>
      <c r="D382" s="1" t="s">
        <v>796</v>
      </c>
      <c r="E382" s="1">
        <v>1510003660</v>
      </c>
      <c r="F382" s="8" t="s">
        <v>9</v>
      </c>
      <c r="G382" s="1" t="s">
        <v>797</v>
      </c>
      <c r="H382" s="1" t="s">
        <v>25</v>
      </c>
      <c r="I382" s="11">
        <v>46286</v>
      </c>
      <c r="J382" s="11">
        <v>46301</v>
      </c>
      <c r="K382" s="11">
        <v>46303</v>
      </c>
      <c r="L382" s="11">
        <v>46305</v>
      </c>
      <c r="M382" s="1" t="s">
        <v>32</v>
      </c>
      <c r="N382" s="6">
        <v>16</v>
      </c>
      <c r="O382" s="6">
        <v>5</v>
      </c>
      <c r="P382" s="12">
        <f t="shared" si="99"/>
        <v>46301</v>
      </c>
      <c r="Q382" s="12">
        <f t="shared" si="100"/>
        <v>46305</v>
      </c>
      <c r="R382" s="24">
        <f t="shared" si="101"/>
        <v>0</v>
      </c>
      <c r="S382" s="25">
        <f t="shared" si="102"/>
        <v>0</v>
      </c>
      <c r="T382" s="23" t="str">
        <f t="shared" si="103"/>
        <v>No</v>
      </c>
      <c r="U382" s="38" t="s">
        <v>321</v>
      </c>
      <c r="V382" s="1" t="s">
        <v>798</v>
      </c>
    </row>
    <row r="383" spans="1:22" x14ac:dyDescent="0.3">
      <c r="A383" s="6">
        <v>382</v>
      </c>
      <c r="B383" s="1" t="s">
        <v>317</v>
      </c>
      <c r="C383" s="1" t="s">
        <v>795</v>
      </c>
      <c r="D383" s="1" t="s">
        <v>799</v>
      </c>
      <c r="E383" s="1">
        <v>1510003660</v>
      </c>
      <c r="F383" s="8" t="s">
        <v>9</v>
      </c>
      <c r="G383" s="1" t="s">
        <v>800</v>
      </c>
      <c r="H383" s="1" t="s">
        <v>25</v>
      </c>
      <c r="I383" s="11">
        <v>46286</v>
      </c>
      <c r="J383" s="11">
        <v>46301</v>
      </c>
      <c r="K383" s="11">
        <v>46315</v>
      </c>
      <c r="L383" s="11"/>
      <c r="M383" s="1" t="s">
        <v>32</v>
      </c>
      <c r="N383" s="6">
        <v>16</v>
      </c>
      <c r="O383" s="6">
        <v>5</v>
      </c>
      <c r="P383" s="12">
        <f t="shared" si="99"/>
        <v>46301</v>
      </c>
      <c r="Q383" s="12">
        <f t="shared" si="100"/>
        <v>46305</v>
      </c>
      <c r="R383" s="24">
        <f t="shared" si="101"/>
        <v>0</v>
      </c>
      <c r="S383" s="25">
        <f t="shared" si="102"/>
        <v>-46305</v>
      </c>
      <c r="T383" s="23" t="str">
        <f t="shared" si="103"/>
        <v>No</v>
      </c>
      <c r="U383" s="38" t="s">
        <v>321</v>
      </c>
      <c r="V383" s="1" t="s">
        <v>798</v>
      </c>
    </row>
    <row r="384" spans="1:22" x14ac:dyDescent="0.3">
      <c r="A384" s="6">
        <v>383</v>
      </c>
      <c r="B384" s="1" t="s">
        <v>317</v>
      </c>
      <c r="C384" s="1" t="s">
        <v>795</v>
      </c>
      <c r="D384" s="1" t="s">
        <v>801</v>
      </c>
      <c r="E384">
        <v>1510003660</v>
      </c>
      <c r="F384" s="8" t="s">
        <v>9</v>
      </c>
      <c r="G384" s="1" t="s">
        <v>345</v>
      </c>
      <c r="H384" s="1" t="s">
        <v>25</v>
      </c>
      <c r="I384" s="11">
        <v>46286</v>
      </c>
      <c r="J384" s="11">
        <v>46301</v>
      </c>
      <c r="K384" s="11">
        <v>46308</v>
      </c>
      <c r="L384" s="11">
        <v>46309</v>
      </c>
      <c r="M384" s="1" t="s">
        <v>32</v>
      </c>
      <c r="N384" s="6">
        <v>16</v>
      </c>
      <c r="O384" s="6">
        <v>5</v>
      </c>
      <c r="P384" s="12">
        <f t="shared" si="99"/>
        <v>46301</v>
      </c>
      <c r="Q384" s="12">
        <f t="shared" si="100"/>
        <v>46305</v>
      </c>
      <c r="R384" s="24">
        <f t="shared" si="101"/>
        <v>0</v>
      </c>
      <c r="S384" s="25">
        <f t="shared" si="102"/>
        <v>4</v>
      </c>
      <c r="T384" s="23" t="str">
        <f t="shared" si="103"/>
        <v>No</v>
      </c>
      <c r="U384" s="38" t="s">
        <v>321</v>
      </c>
      <c r="V384" s="1" t="s">
        <v>798</v>
      </c>
    </row>
    <row r="385" spans="1:22" x14ac:dyDescent="0.3">
      <c r="A385" s="6">
        <v>384</v>
      </c>
      <c r="B385" s="1" t="s">
        <v>62</v>
      </c>
      <c r="C385" s="1" t="s">
        <v>802</v>
      </c>
      <c r="D385" s="1" t="s">
        <v>803</v>
      </c>
      <c r="E385" s="1">
        <v>1510003503</v>
      </c>
      <c r="F385" s="7" t="s">
        <v>699</v>
      </c>
      <c r="G385" s="1" t="s">
        <v>804</v>
      </c>
      <c r="H385" s="1" t="s">
        <v>66</v>
      </c>
      <c r="I385" s="11">
        <v>46302</v>
      </c>
      <c r="J385" s="11"/>
      <c r="K385" s="11"/>
      <c r="L385" s="11"/>
      <c r="M385" s="1" t="s">
        <v>32</v>
      </c>
      <c r="N385" s="6">
        <v>20</v>
      </c>
      <c r="O385" s="6">
        <v>15</v>
      </c>
      <c r="P385" s="12">
        <f t="shared" si="99"/>
        <v>46321</v>
      </c>
      <c r="Q385" s="12">
        <f t="shared" si="100"/>
        <v>14</v>
      </c>
      <c r="R385" s="24">
        <f t="shared" si="101"/>
        <v>-46321</v>
      </c>
      <c r="S385" s="25">
        <f t="shared" si="102"/>
        <v>-14</v>
      </c>
      <c r="T385" s="23" t="str">
        <f t="shared" si="103"/>
        <v>No</v>
      </c>
      <c r="U385" s="7" t="s">
        <v>699</v>
      </c>
      <c r="V385" s="1" t="s">
        <v>805</v>
      </c>
    </row>
    <row r="386" spans="1:22" x14ac:dyDescent="0.3">
      <c r="A386" s="6">
        <v>385</v>
      </c>
      <c r="B386" s="1" t="s">
        <v>62</v>
      </c>
      <c r="C386" s="1" t="s">
        <v>802</v>
      </c>
      <c r="D386" s="1" t="s">
        <v>806</v>
      </c>
      <c r="E386" s="1">
        <v>1510003503</v>
      </c>
      <c r="F386" s="7" t="s">
        <v>699</v>
      </c>
      <c r="G386" s="1" t="s">
        <v>804</v>
      </c>
      <c r="H386" s="1" t="s">
        <v>66</v>
      </c>
      <c r="I386" s="11">
        <v>46302</v>
      </c>
      <c r="J386" s="11"/>
      <c r="K386" s="11"/>
      <c r="L386" s="11"/>
      <c r="M386" s="1" t="s">
        <v>32</v>
      </c>
      <c r="N386" s="6">
        <v>20</v>
      </c>
      <c r="O386" s="6">
        <v>15</v>
      </c>
      <c r="P386" s="12">
        <f t="shared" si="99"/>
        <v>46321</v>
      </c>
      <c r="Q386" s="12">
        <f t="shared" si="100"/>
        <v>14</v>
      </c>
      <c r="R386" s="24">
        <f t="shared" si="101"/>
        <v>-46321</v>
      </c>
      <c r="S386" s="25">
        <f t="shared" si="102"/>
        <v>-14</v>
      </c>
      <c r="T386" s="23" t="str">
        <f t="shared" si="103"/>
        <v>No</v>
      </c>
      <c r="U386" s="7" t="s">
        <v>699</v>
      </c>
      <c r="V386" s="1" t="s">
        <v>805</v>
      </c>
    </row>
    <row r="387" spans="1:22" x14ac:dyDescent="0.3">
      <c r="A387" s="6">
        <v>386</v>
      </c>
      <c r="B387" s="1" t="s">
        <v>62</v>
      </c>
      <c r="C387" s="1" t="s">
        <v>802</v>
      </c>
      <c r="D387" s="1" t="s">
        <v>807</v>
      </c>
      <c r="E387" s="1">
        <v>1510003503</v>
      </c>
      <c r="F387" s="7" t="s">
        <v>699</v>
      </c>
      <c r="G387" s="1" t="s">
        <v>804</v>
      </c>
      <c r="H387" s="1" t="s">
        <v>66</v>
      </c>
      <c r="I387" s="11">
        <v>46302</v>
      </c>
      <c r="J387" s="11"/>
      <c r="K387" s="11"/>
      <c r="L387" s="11"/>
      <c r="M387" s="1" t="s">
        <v>32</v>
      </c>
      <c r="N387" s="6">
        <v>20</v>
      </c>
      <c r="O387" s="6">
        <v>15</v>
      </c>
      <c r="P387" s="12">
        <f t="shared" si="99"/>
        <v>46321</v>
      </c>
      <c r="Q387" s="12">
        <f t="shared" si="100"/>
        <v>14</v>
      </c>
      <c r="R387" s="24">
        <f t="shared" si="101"/>
        <v>-46321</v>
      </c>
      <c r="S387" s="25">
        <f t="shared" si="102"/>
        <v>-14</v>
      </c>
      <c r="T387" s="23" t="str">
        <f t="shared" si="103"/>
        <v>No</v>
      </c>
      <c r="U387" s="7" t="s">
        <v>699</v>
      </c>
      <c r="V387" s="1" t="s">
        <v>805</v>
      </c>
    </row>
    <row r="388" spans="1:22" x14ac:dyDescent="0.3">
      <c r="A388" s="6">
        <v>387</v>
      </c>
      <c r="B388" s="1" t="s">
        <v>62</v>
      </c>
      <c r="C388" s="1" t="s">
        <v>802</v>
      </c>
      <c r="D388" s="1" t="s">
        <v>808</v>
      </c>
      <c r="E388" s="1">
        <v>1510003503</v>
      </c>
      <c r="F388" s="7" t="s">
        <v>699</v>
      </c>
      <c r="G388" s="1" t="s">
        <v>804</v>
      </c>
      <c r="H388" s="1" t="s">
        <v>66</v>
      </c>
      <c r="I388" s="11">
        <v>46302</v>
      </c>
      <c r="J388" s="11"/>
      <c r="K388" s="11"/>
      <c r="L388" s="11"/>
      <c r="M388" s="1" t="s">
        <v>32</v>
      </c>
      <c r="N388" s="6">
        <v>20</v>
      </c>
      <c r="O388" s="6">
        <v>15</v>
      </c>
      <c r="P388" s="12">
        <f t="shared" si="99"/>
        <v>46321</v>
      </c>
      <c r="Q388" s="12">
        <f t="shared" si="100"/>
        <v>14</v>
      </c>
      <c r="R388" s="24">
        <f t="shared" si="101"/>
        <v>-46321</v>
      </c>
      <c r="S388" s="25">
        <f t="shared" si="102"/>
        <v>-14</v>
      </c>
      <c r="T388" s="23" t="str">
        <f t="shared" si="103"/>
        <v>No</v>
      </c>
      <c r="U388" s="7" t="s">
        <v>699</v>
      </c>
      <c r="V388" s="1" t="s">
        <v>805</v>
      </c>
    </row>
    <row r="389" spans="1:22" x14ac:dyDescent="0.3">
      <c r="A389" s="6">
        <v>388</v>
      </c>
      <c r="B389" s="1" t="s">
        <v>62</v>
      </c>
      <c r="C389" s="1" t="s">
        <v>809</v>
      </c>
      <c r="D389" s="1" t="s">
        <v>810</v>
      </c>
      <c r="E389" s="1">
        <v>1510003504</v>
      </c>
      <c r="F389" s="7" t="s">
        <v>699</v>
      </c>
      <c r="G389" s="1" t="s">
        <v>811</v>
      </c>
      <c r="H389" s="1" t="s">
        <v>66</v>
      </c>
      <c r="I389" s="11">
        <v>46306</v>
      </c>
      <c r="J389" s="11"/>
      <c r="K389" s="11"/>
      <c r="L389" s="11"/>
      <c r="M389" s="1" t="s">
        <v>32</v>
      </c>
      <c r="N389" s="6">
        <v>20</v>
      </c>
      <c r="O389" s="6">
        <v>15</v>
      </c>
      <c r="P389" s="12">
        <f t="shared" si="99"/>
        <v>46325</v>
      </c>
      <c r="Q389" s="12">
        <f t="shared" si="100"/>
        <v>14</v>
      </c>
      <c r="R389" s="24">
        <f t="shared" si="101"/>
        <v>-46325</v>
      </c>
      <c r="S389" s="25">
        <f t="shared" si="102"/>
        <v>-14</v>
      </c>
      <c r="T389" s="23" t="str">
        <f t="shared" si="103"/>
        <v>No</v>
      </c>
      <c r="U389" s="7" t="s">
        <v>699</v>
      </c>
      <c r="V389" s="1" t="s">
        <v>812</v>
      </c>
    </row>
    <row r="390" spans="1:22" x14ac:dyDescent="0.3">
      <c r="A390" s="6">
        <v>389</v>
      </c>
      <c r="B390" s="1" t="s">
        <v>62</v>
      </c>
      <c r="C390" s="1" t="s">
        <v>809</v>
      </c>
      <c r="D390" s="1" t="s">
        <v>813</v>
      </c>
      <c r="E390" s="1">
        <v>1510003504</v>
      </c>
      <c r="F390" s="7" t="s">
        <v>699</v>
      </c>
      <c r="G390" s="1" t="s">
        <v>811</v>
      </c>
      <c r="H390" s="1" t="s">
        <v>66</v>
      </c>
      <c r="I390" s="11">
        <v>46306</v>
      </c>
      <c r="J390" s="11"/>
      <c r="K390" s="11"/>
      <c r="L390" s="11"/>
      <c r="M390" s="1" t="s">
        <v>32</v>
      </c>
      <c r="N390" s="6">
        <v>20</v>
      </c>
      <c r="O390" s="6">
        <v>15</v>
      </c>
      <c r="P390" s="12">
        <f t="shared" ref="P390:P438" si="104">I390+N390-1</f>
        <v>46325</v>
      </c>
      <c r="Q390" s="12">
        <f t="shared" ref="Q390:Q438" si="105">J390+O390-1</f>
        <v>14</v>
      </c>
      <c r="R390" s="24">
        <f t="shared" ref="R390:R438" si="106">J390-P390</f>
        <v>-46325</v>
      </c>
      <c r="S390" s="25">
        <f t="shared" ref="S390:S438" si="107">L390-Q390</f>
        <v>-14</v>
      </c>
      <c r="T390" s="23" t="str">
        <f t="shared" ref="T390:T438" si="108">IF(R390&gt;0,"To Paid","No")</f>
        <v>No</v>
      </c>
      <c r="U390" s="7" t="s">
        <v>699</v>
      </c>
      <c r="V390" s="1" t="s">
        <v>812</v>
      </c>
    </row>
    <row r="391" spans="1:22" x14ac:dyDescent="0.3">
      <c r="A391" s="6">
        <v>390</v>
      </c>
      <c r="B391" s="1" t="s">
        <v>62</v>
      </c>
      <c r="C391" s="1" t="s">
        <v>809</v>
      </c>
      <c r="D391" s="1" t="s">
        <v>814</v>
      </c>
      <c r="E391" s="1">
        <v>1510003504</v>
      </c>
      <c r="F391" s="7" t="s">
        <v>699</v>
      </c>
      <c r="G391" s="1" t="s">
        <v>811</v>
      </c>
      <c r="H391" s="1" t="s">
        <v>66</v>
      </c>
      <c r="I391" s="11">
        <v>46306</v>
      </c>
      <c r="J391" s="11"/>
      <c r="K391" s="11"/>
      <c r="L391" s="11"/>
      <c r="M391" s="1" t="s">
        <v>32</v>
      </c>
      <c r="N391" s="6">
        <v>20</v>
      </c>
      <c r="O391" s="6">
        <v>15</v>
      </c>
      <c r="P391" s="12">
        <f t="shared" si="104"/>
        <v>46325</v>
      </c>
      <c r="Q391" s="12">
        <f t="shared" si="105"/>
        <v>14</v>
      </c>
      <c r="R391" s="24">
        <f t="shared" si="106"/>
        <v>-46325</v>
      </c>
      <c r="S391" s="25">
        <f t="shared" si="107"/>
        <v>-14</v>
      </c>
      <c r="T391" s="23" t="str">
        <f t="shared" si="108"/>
        <v>No</v>
      </c>
      <c r="U391" s="7" t="s">
        <v>699</v>
      </c>
      <c r="V391" s="1" t="s">
        <v>812</v>
      </c>
    </row>
    <row r="392" spans="1:22" x14ac:dyDescent="0.3">
      <c r="A392" s="6">
        <v>391</v>
      </c>
      <c r="B392" s="1" t="s">
        <v>62</v>
      </c>
      <c r="C392" s="1" t="s">
        <v>809</v>
      </c>
      <c r="D392" s="1" t="s">
        <v>815</v>
      </c>
      <c r="E392" s="1">
        <v>1510003504</v>
      </c>
      <c r="F392" s="7" t="s">
        <v>699</v>
      </c>
      <c r="G392" s="1" t="s">
        <v>811</v>
      </c>
      <c r="H392" s="1" t="s">
        <v>66</v>
      </c>
      <c r="I392" s="11">
        <v>46306</v>
      </c>
      <c r="J392" s="11"/>
      <c r="K392" s="11"/>
      <c r="L392" s="11"/>
      <c r="M392" s="1" t="s">
        <v>32</v>
      </c>
      <c r="N392" s="6">
        <v>20</v>
      </c>
      <c r="O392" s="6">
        <v>15</v>
      </c>
      <c r="P392" s="12">
        <f t="shared" si="104"/>
        <v>46325</v>
      </c>
      <c r="Q392" s="12">
        <f t="shared" si="105"/>
        <v>14</v>
      </c>
      <c r="R392" s="24">
        <f t="shared" si="106"/>
        <v>-46325</v>
      </c>
      <c r="S392" s="25">
        <f t="shared" si="107"/>
        <v>-14</v>
      </c>
      <c r="T392" s="23" t="str">
        <f t="shared" si="108"/>
        <v>No</v>
      </c>
      <c r="U392" s="7" t="s">
        <v>699</v>
      </c>
      <c r="V392" s="1" t="s">
        <v>812</v>
      </c>
    </row>
    <row r="393" spans="1:22" x14ac:dyDescent="0.3">
      <c r="A393" s="6">
        <v>392</v>
      </c>
      <c r="B393" s="1" t="s">
        <v>115</v>
      </c>
      <c r="C393" s="1" t="s">
        <v>816</v>
      </c>
      <c r="D393" s="1" t="s">
        <v>817</v>
      </c>
      <c r="E393" s="1">
        <v>1510003535</v>
      </c>
      <c r="F393" s="8" t="s">
        <v>9</v>
      </c>
      <c r="G393" s="1" t="s">
        <v>818</v>
      </c>
      <c r="H393" s="1" t="s">
        <v>25</v>
      </c>
      <c r="I393" s="11">
        <v>46302</v>
      </c>
      <c r="J393" s="11">
        <v>46310</v>
      </c>
      <c r="K393" s="11"/>
      <c r="L393" s="11"/>
      <c r="M393" s="1" t="s">
        <v>32</v>
      </c>
      <c r="N393" s="6">
        <v>20</v>
      </c>
      <c r="O393" s="6">
        <v>15</v>
      </c>
      <c r="P393" s="12">
        <f t="shared" si="104"/>
        <v>46321</v>
      </c>
      <c r="Q393" s="12">
        <f t="shared" si="105"/>
        <v>46324</v>
      </c>
      <c r="R393" s="24">
        <f t="shared" si="106"/>
        <v>-11</v>
      </c>
      <c r="S393" s="25">
        <f t="shared" si="107"/>
        <v>-46324</v>
      </c>
      <c r="T393" s="23" t="str">
        <f t="shared" si="108"/>
        <v>No</v>
      </c>
      <c r="U393" s="23"/>
      <c r="V393" s="1" t="s">
        <v>819</v>
      </c>
    </row>
    <row r="394" spans="1:22" x14ac:dyDescent="0.3">
      <c r="A394" s="6">
        <v>393</v>
      </c>
      <c r="B394" s="1" t="s">
        <v>115</v>
      </c>
      <c r="C394" s="1" t="s">
        <v>820</v>
      </c>
      <c r="D394" s="1" t="s">
        <v>821</v>
      </c>
      <c r="E394" s="1">
        <v>1510003533</v>
      </c>
      <c r="F394" s="8" t="s">
        <v>9</v>
      </c>
      <c r="G394" s="1" t="s">
        <v>822</v>
      </c>
      <c r="H394" s="1" t="s">
        <v>25</v>
      </c>
      <c r="I394" s="11">
        <v>46302</v>
      </c>
      <c r="J394" s="11">
        <v>46311</v>
      </c>
      <c r="K394" s="11"/>
      <c r="L394" s="11"/>
      <c r="M394" s="1" t="s">
        <v>32</v>
      </c>
      <c r="N394" s="6">
        <v>20</v>
      </c>
      <c r="O394" s="6">
        <v>15</v>
      </c>
      <c r="P394" s="12">
        <f t="shared" si="104"/>
        <v>46321</v>
      </c>
      <c r="Q394" s="12">
        <f t="shared" si="105"/>
        <v>46325</v>
      </c>
      <c r="R394" s="24">
        <f t="shared" si="106"/>
        <v>-10</v>
      </c>
      <c r="S394" s="25">
        <f t="shared" si="107"/>
        <v>-46325</v>
      </c>
      <c r="T394" s="23" t="str">
        <f t="shared" si="108"/>
        <v>No</v>
      </c>
      <c r="U394" s="23"/>
      <c r="V394" s="1" t="s">
        <v>823</v>
      </c>
    </row>
    <row r="395" spans="1:22" x14ac:dyDescent="0.3">
      <c r="A395" s="6">
        <v>394</v>
      </c>
      <c r="B395" s="1" t="s">
        <v>21</v>
      </c>
      <c r="C395" s="1" t="s">
        <v>824</v>
      </c>
      <c r="D395" s="1" t="s">
        <v>825</v>
      </c>
      <c r="E395" s="1">
        <v>9700018875</v>
      </c>
      <c r="F395" s="8" t="s">
        <v>9</v>
      </c>
      <c r="G395" s="1" t="s">
        <v>361</v>
      </c>
      <c r="H395" s="1" t="s">
        <v>25</v>
      </c>
      <c r="I395" s="11">
        <v>46292</v>
      </c>
      <c r="J395" s="11">
        <v>46301</v>
      </c>
      <c r="K395" s="11">
        <v>46304</v>
      </c>
      <c r="L395" s="11">
        <v>46305</v>
      </c>
      <c r="M395" s="1" t="s">
        <v>26</v>
      </c>
      <c r="N395" s="6">
        <v>14</v>
      </c>
      <c r="O395" s="6">
        <v>14</v>
      </c>
      <c r="P395" s="12">
        <f t="shared" si="104"/>
        <v>46305</v>
      </c>
      <c r="Q395" s="12">
        <f t="shared" si="105"/>
        <v>46314</v>
      </c>
      <c r="R395" s="24">
        <f t="shared" si="106"/>
        <v>-4</v>
      </c>
      <c r="S395" s="25">
        <f t="shared" si="107"/>
        <v>-9</v>
      </c>
      <c r="T395" s="23" t="str">
        <f t="shared" si="108"/>
        <v>No</v>
      </c>
      <c r="U395" s="23"/>
      <c r="V395" s="1" t="s">
        <v>826</v>
      </c>
    </row>
    <row r="396" spans="1:22" x14ac:dyDescent="0.3">
      <c r="A396" s="6">
        <v>395</v>
      </c>
      <c r="B396" s="1" t="s">
        <v>21</v>
      </c>
      <c r="C396" s="1" t="s">
        <v>824</v>
      </c>
      <c r="D396" s="1" t="s">
        <v>827</v>
      </c>
      <c r="E396" s="1">
        <v>9700018875</v>
      </c>
      <c r="F396" s="8" t="s">
        <v>9</v>
      </c>
      <c r="G396" s="1" t="s">
        <v>361</v>
      </c>
      <c r="H396" s="1" t="s">
        <v>25</v>
      </c>
      <c r="I396" s="11">
        <v>46292</v>
      </c>
      <c r="J396" s="11">
        <v>46301</v>
      </c>
      <c r="K396" s="11">
        <v>46306</v>
      </c>
      <c r="L396" s="11"/>
      <c r="M396" s="1" t="s">
        <v>26</v>
      </c>
      <c r="N396" s="6">
        <v>14</v>
      </c>
      <c r="O396" s="6">
        <v>14</v>
      </c>
      <c r="P396" s="12">
        <f t="shared" si="104"/>
        <v>46305</v>
      </c>
      <c r="Q396" s="12">
        <f t="shared" si="105"/>
        <v>46314</v>
      </c>
      <c r="R396" s="24">
        <f t="shared" si="106"/>
        <v>-4</v>
      </c>
      <c r="S396" s="25">
        <f t="shared" si="107"/>
        <v>-46314</v>
      </c>
      <c r="T396" s="23" t="str">
        <f t="shared" si="108"/>
        <v>No</v>
      </c>
      <c r="U396" s="23"/>
      <c r="V396" s="1" t="s">
        <v>826</v>
      </c>
    </row>
    <row r="397" spans="1:22" x14ac:dyDescent="0.3">
      <c r="A397" s="6">
        <v>396</v>
      </c>
      <c r="B397" s="1" t="s">
        <v>21</v>
      </c>
      <c r="C397" s="1" t="s">
        <v>824</v>
      </c>
      <c r="D397" s="1" t="s">
        <v>828</v>
      </c>
      <c r="E397" s="1">
        <v>9700018875</v>
      </c>
      <c r="F397" s="8" t="s">
        <v>9</v>
      </c>
      <c r="G397" s="1" t="s">
        <v>641</v>
      </c>
      <c r="H397" s="1" t="s">
        <v>25</v>
      </c>
      <c r="I397" s="11">
        <v>46292</v>
      </c>
      <c r="J397" s="11">
        <v>46300</v>
      </c>
      <c r="K397" s="11">
        <v>46303</v>
      </c>
      <c r="L397" s="11">
        <v>46304</v>
      </c>
      <c r="M397" s="1" t="s">
        <v>26</v>
      </c>
      <c r="N397" s="6">
        <v>14</v>
      </c>
      <c r="O397" s="6">
        <v>14</v>
      </c>
      <c r="P397" s="12">
        <f t="shared" si="104"/>
        <v>46305</v>
      </c>
      <c r="Q397" s="12">
        <f t="shared" si="105"/>
        <v>46313</v>
      </c>
      <c r="R397" s="24">
        <f t="shared" si="106"/>
        <v>-5</v>
      </c>
      <c r="S397" s="25">
        <f t="shared" si="107"/>
        <v>-9</v>
      </c>
      <c r="T397" s="23" t="str">
        <f t="shared" si="108"/>
        <v>No</v>
      </c>
      <c r="U397" s="23"/>
      <c r="V397" s="1" t="s">
        <v>826</v>
      </c>
    </row>
    <row r="398" spans="1:22" x14ac:dyDescent="0.3">
      <c r="A398" s="6">
        <v>397</v>
      </c>
      <c r="B398" s="1" t="s">
        <v>21</v>
      </c>
      <c r="C398" s="1" t="s">
        <v>824</v>
      </c>
      <c r="D398" s="1" t="s">
        <v>829</v>
      </c>
      <c r="E398" s="1">
        <v>9700018875</v>
      </c>
      <c r="F398" s="8" t="s">
        <v>9</v>
      </c>
      <c r="G398" s="1" t="s">
        <v>641</v>
      </c>
      <c r="H398" s="1" t="s">
        <v>25</v>
      </c>
      <c r="I398" s="11">
        <v>46292</v>
      </c>
      <c r="J398" s="11">
        <v>46302</v>
      </c>
      <c r="K398" s="11">
        <v>46306</v>
      </c>
      <c r="L398" s="11">
        <v>46307</v>
      </c>
      <c r="M398" s="1" t="s">
        <v>26</v>
      </c>
      <c r="N398" s="6">
        <v>14</v>
      </c>
      <c r="O398" s="6">
        <v>14</v>
      </c>
      <c r="P398" s="12">
        <f t="shared" si="104"/>
        <v>46305</v>
      </c>
      <c r="Q398" s="12">
        <f t="shared" si="105"/>
        <v>46315</v>
      </c>
      <c r="R398" s="24">
        <f t="shared" si="106"/>
        <v>-3</v>
      </c>
      <c r="S398" s="25">
        <f t="shared" si="107"/>
        <v>-8</v>
      </c>
      <c r="T398" s="23" t="str">
        <f t="shared" si="108"/>
        <v>No</v>
      </c>
      <c r="U398" s="23"/>
      <c r="V398" s="1" t="s">
        <v>826</v>
      </c>
    </row>
    <row r="399" spans="1:22" x14ac:dyDescent="0.3">
      <c r="A399" s="6">
        <v>398</v>
      </c>
      <c r="B399" s="1" t="s">
        <v>21</v>
      </c>
      <c r="C399" s="1" t="s">
        <v>824</v>
      </c>
      <c r="D399" s="1" t="s">
        <v>830</v>
      </c>
      <c r="E399" s="1">
        <v>9700018875</v>
      </c>
      <c r="F399" s="8" t="s">
        <v>9</v>
      </c>
      <c r="G399" s="1" t="s">
        <v>641</v>
      </c>
      <c r="H399" s="1" t="s">
        <v>25</v>
      </c>
      <c r="I399" s="11">
        <v>46292</v>
      </c>
      <c r="J399" s="11">
        <v>46302</v>
      </c>
      <c r="K399" s="11">
        <v>46304</v>
      </c>
      <c r="L399" s="11">
        <v>46305</v>
      </c>
      <c r="M399" s="1" t="s">
        <v>26</v>
      </c>
      <c r="N399" s="6">
        <v>14</v>
      </c>
      <c r="O399" s="6">
        <v>14</v>
      </c>
      <c r="P399" s="12">
        <f t="shared" si="104"/>
        <v>46305</v>
      </c>
      <c r="Q399" s="12">
        <f t="shared" si="105"/>
        <v>46315</v>
      </c>
      <c r="R399" s="24">
        <f t="shared" si="106"/>
        <v>-3</v>
      </c>
      <c r="S399" s="25">
        <f t="shared" si="107"/>
        <v>-10</v>
      </c>
      <c r="T399" s="23" t="str">
        <f t="shared" si="108"/>
        <v>No</v>
      </c>
      <c r="U399" s="23"/>
      <c r="V399" s="1" t="s">
        <v>826</v>
      </c>
    </row>
    <row r="400" spans="1:22" x14ac:dyDescent="0.3">
      <c r="A400" s="6">
        <v>399</v>
      </c>
      <c r="B400" s="1" t="s">
        <v>21</v>
      </c>
      <c r="C400" s="1" t="s">
        <v>824</v>
      </c>
      <c r="D400" s="1" t="s">
        <v>831</v>
      </c>
      <c r="E400" s="1">
        <v>9700018875</v>
      </c>
      <c r="F400" s="8" t="s">
        <v>9</v>
      </c>
      <c r="G400" s="1" t="s">
        <v>641</v>
      </c>
      <c r="H400" s="1" t="s">
        <v>25</v>
      </c>
      <c r="I400" s="11">
        <v>46292</v>
      </c>
      <c r="J400" s="11">
        <v>46302</v>
      </c>
      <c r="K400" s="11">
        <v>46306</v>
      </c>
      <c r="L400" s="11">
        <v>46307</v>
      </c>
      <c r="M400" s="1" t="s">
        <v>26</v>
      </c>
      <c r="N400" s="6">
        <v>14</v>
      </c>
      <c r="O400" s="6">
        <v>14</v>
      </c>
      <c r="P400" s="12">
        <f t="shared" si="104"/>
        <v>46305</v>
      </c>
      <c r="Q400" s="12">
        <f t="shared" si="105"/>
        <v>46315</v>
      </c>
      <c r="R400" s="24">
        <f t="shared" si="106"/>
        <v>-3</v>
      </c>
      <c r="S400" s="25">
        <f t="shared" si="107"/>
        <v>-8</v>
      </c>
      <c r="T400" s="23" t="str">
        <f t="shared" si="108"/>
        <v>No</v>
      </c>
      <c r="U400" s="23"/>
      <c r="V400" s="1" t="s">
        <v>826</v>
      </c>
    </row>
    <row r="401" spans="1:22" x14ac:dyDescent="0.3">
      <c r="A401" s="6">
        <v>400</v>
      </c>
      <c r="B401" s="1" t="s">
        <v>21</v>
      </c>
      <c r="C401" s="1" t="s">
        <v>824</v>
      </c>
      <c r="D401" s="1" t="s">
        <v>832</v>
      </c>
      <c r="E401" s="1">
        <v>9700018875</v>
      </c>
      <c r="F401" s="8" t="s">
        <v>9</v>
      </c>
      <c r="G401" s="1" t="s">
        <v>641</v>
      </c>
      <c r="H401" s="1" t="s">
        <v>25</v>
      </c>
      <c r="I401" s="11">
        <v>46292</v>
      </c>
      <c r="J401" s="11">
        <v>46302</v>
      </c>
      <c r="K401" s="11">
        <v>46306</v>
      </c>
      <c r="L401" s="11">
        <v>46307</v>
      </c>
      <c r="M401" s="1" t="s">
        <v>26</v>
      </c>
      <c r="N401" s="6">
        <v>14</v>
      </c>
      <c r="O401" s="6">
        <v>14</v>
      </c>
      <c r="P401" s="12">
        <f t="shared" si="104"/>
        <v>46305</v>
      </c>
      <c r="Q401" s="12">
        <f t="shared" si="105"/>
        <v>46315</v>
      </c>
      <c r="R401" s="24">
        <f t="shared" si="106"/>
        <v>-3</v>
      </c>
      <c r="S401" s="25">
        <f t="shared" si="107"/>
        <v>-8</v>
      </c>
      <c r="T401" s="23" t="str">
        <f t="shared" si="108"/>
        <v>No</v>
      </c>
      <c r="U401" s="23"/>
      <c r="V401" s="1" t="s">
        <v>826</v>
      </c>
    </row>
    <row r="402" spans="1:22" x14ac:dyDescent="0.3">
      <c r="A402" s="6">
        <v>401</v>
      </c>
      <c r="B402" s="1" t="s">
        <v>21</v>
      </c>
      <c r="C402" s="1" t="s">
        <v>824</v>
      </c>
      <c r="D402" s="1" t="s">
        <v>833</v>
      </c>
      <c r="E402" s="1">
        <v>9700018875</v>
      </c>
      <c r="F402" s="8" t="s">
        <v>9</v>
      </c>
      <c r="G402" s="1" t="s">
        <v>641</v>
      </c>
      <c r="H402" s="1" t="s">
        <v>25</v>
      </c>
      <c r="I402" s="11">
        <v>46292</v>
      </c>
      <c r="J402" s="11">
        <v>46302</v>
      </c>
      <c r="K402" s="11">
        <v>46309</v>
      </c>
      <c r="L402" s="11">
        <v>46310</v>
      </c>
      <c r="M402" s="1" t="s">
        <v>26</v>
      </c>
      <c r="N402" s="6">
        <v>14</v>
      </c>
      <c r="O402" s="6">
        <v>14</v>
      </c>
      <c r="P402" s="12">
        <f t="shared" si="104"/>
        <v>46305</v>
      </c>
      <c r="Q402" s="12">
        <f t="shared" si="105"/>
        <v>46315</v>
      </c>
      <c r="R402" s="24">
        <f t="shared" si="106"/>
        <v>-3</v>
      </c>
      <c r="S402" s="25">
        <f t="shared" si="107"/>
        <v>-5</v>
      </c>
      <c r="T402" s="23" t="str">
        <f t="shared" si="108"/>
        <v>No</v>
      </c>
      <c r="U402" s="23"/>
      <c r="V402" s="1" t="s">
        <v>826</v>
      </c>
    </row>
    <row r="403" spans="1:22" x14ac:dyDescent="0.3">
      <c r="A403" s="6">
        <v>402</v>
      </c>
      <c r="B403" s="1" t="s">
        <v>21</v>
      </c>
      <c r="C403" s="1" t="s">
        <v>824</v>
      </c>
      <c r="D403" s="1" t="s">
        <v>834</v>
      </c>
      <c r="E403" s="1">
        <v>9700018875</v>
      </c>
      <c r="F403" s="8" t="s">
        <v>9</v>
      </c>
      <c r="G403" s="1" t="s">
        <v>641</v>
      </c>
      <c r="H403" s="1" t="s">
        <v>25</v>
      </c>
      <c r="I403" s="11">
        <v>46292</v>
      </c>
      <c r="J403" s="11">
        <v>46302</v>
      </c>
      <c r="K403" s="11">
        <v>46309</v>
      </c>
      <c r="L403" s="11">
        <v>46310</v>
      </c>
      <c r="M403" s="1" t="s">
        <v>26</v>
      </c>
      <c r="N403" s="6">
        <v>14</v>
      </c>
      <c r="O403" s="6">
        <v>14</v>
      </c>
      <c r="P403" s="12">
        <f t="shared" si="104"/>
        <v>46305</v>
      </c>
      <c r="Q403" s="12">
        <f t="shared" si="105"/>
        <v>46315</v>
      </c>
      <c r="R403" s="24">
        <f t="shared" si="106"/>
        <v>-3</v>
      </c>
      <c r="S403" s="25">
        <f t="shared" si="107"/>
        <v>-5</v>
      </c>
      <c r="T403" s="23" t="str">
        <f t="shared" si="108"/>
        <v>No</v>
      </c>
      <c r="U403" s="23"/>
      <c r="V403" s="1" t="s">
        <v>826</v>
      </c>
    </row>
    <row r="404" spans="1:22" x14ac:dyDescent="0.3">
      <c r="A404" s="6">
        <v>403</v>
      </c>
      <c r="B404" s="1" t="s">
        <v>21</v>
      </c>
      <c r="C404" s="1" t="s">
        <v>824</v>
      </c>
      <c r="D404" s="1" t="s">
        <v>835</v>
      </c>
      <c r="E404" s="1">
        <v>9700018875</v>
      </c>
      <c r="F404" s="8" t="s">
        <v>9</v>
      </c>
      <c r="G404" s="1" t="s">
        <v>641</v>
      </c>
      <c r="H404" s="1" t="s">
        <v>25</v>
      </c>
      <c r="I404" s="11">
        <v>46292</v>
      </c>
      <c r="J404" s="11">
        <v>46303</v>
      </c>
      <c r="K404" s="11">
        <v>46308</v>
      </c>
      <c r="L404" s="11">
        <v>46309</v>
      </c>
      <c r="M404" s="1" t="s">
        <v>26</v>
      </c>
      <c r="N404" s="6">
        <v>14</v>
      </c>
      <c r="O404" s="6">
        <v>14</v>
      </c>
      <c r="P404" s="12">
        <f t="shared" si="104"/>
        <v>46305</v>
      </c>
      <c r="Q404" s="12">
        <f t="shared" si="105"/>
        <v>46316</v>
      </c>
      <c r="R404" s="24">
        <f t="shared" si="106"/>
        <v>-2</v>
      </c>
      <c r="S404" s="25">
        <f t="shared" si="107"/>
        <v>-7</v>
      </c>
      <c r="T404" s="23" t="str">
        <f t="shared" si="108"/>
        <v>No</v>
      </c>
      <c r="U404" s="23"/>
      <c r="V404" s="1" t="s">
        <v>826</v>
      </c>
    </row>
    <row r="405" spans="1:22" x14ac:dyDescent="0.3">
      <c r="A405" s="6">
        <v>404</v>
      </c>
      <c r="B405" s="1" t="s">
        <v>28</v>
      </c>
      <c r="C405" s="1" t="s">
        <v>836</v>
      </c>
      <c r="D405" s="1" t="s">
        <v>837</v>
      </c>
      <c r="E405" s="1">
        <v>1510003369</v>
      </c>
      <c r="F405" s="8" t="s">
        <v>9</v>
      </c>
      <c r="G405" s="1" t="s">
        <v>496</v>
      </c>
      <c r="H405" s="1" t="s">
        <v>705</v>
      </c>
      <c r="I405" s="11">
        <v>46305</v>
      </c>
      <c r="J405" s="11">
        <v>46310</v>
      </c>
      <c r="K405" s="11">
        <v>46310</v>
      </c>
      <c r="L405" s="11">
        <v>46314</v>
      </c>
      <c r="M405" s="1" t="s">
        <v>32</v>
      </c>
      <c r="N405" s="6">
        <v>7</v>
      </c>
      <c r="O405" s="6">
        <v>8</v>
      </c>
      <c r="P405" s="12">
        <f t="shared" si="104"/>
        <v>46311</v>
      </c>
      <c r="Q405" s="12">
        <f t="shared" si="105"/>
        <v>46317</v>
      </c>
      <c r="R405" s="24">
        <f t="shared" si="106"/>
        <v>-1</v>
      </c>
      <c r="S405" s="25">
        <f t="shared" si="107"/>
        <v>-3</v>
      </c>
      <c r="T405" s="23" t="str">
        <f t="shared" si="108"/>
        <v>No</v>
      </c>
      <c r="U405" s="23"/>
      <c r="V405" s="1" t="s">
        <v>838</v>
      </c>
    </row>
    <row r="406" spans="1:22" x14ac:dyDescent="0.3">
      <c r="A406" s="6">
        <v>405</v>
      </c>
      <c r="B406" s="1" t="s">
        <v>28</v>
      </c>
      <c r="C406" s="1" t="s">
        <v>839</v>
      </c>
      <c r="D406" s="1" t="s">
        <v>840</v>
      </c>
      <c r="E406" s="1">
        <v>1510003367</v>
      </c>
      <c r="F406" s="8" t="s">
        <v>9</v>
      </c>
      <c r="G406" s="1" t="s">
        <v>31</v>
      </c>
      <c r="H406" s="1" t="s">
        <v>25</v>
      </c>
      <c r="I406" s="11">
        <v>46303</v>
      </c>
      <c r="J406" s="11">
        <v>46308</v>
      </c>
      <c r="K406" s="11">
        <v>46311</v>
      </c>
      <c r="L406" s="11">
        <v>46312</v>
      </c>
      <c r="M406" s="1" t="s">
        <v>32</v>
      </c>
      <c r="N406" s="6">
        <v>5</v>
      </c>
      <c r="O406" s="6">
        <v>15</v>
      </c>
      <c r="P406" s="12">
        <f t="shared" si="104"/>
        <v>46307</v>
      </c>
      <c r="Q406" s="12">
        <f t="shared" si="105"/>
        <v>46322</v>
      </c>
      <c r="R406" s="24">
        <f t="shared" si="106"/>
        <v>1</v>
      </c>
      <c r="S406" s="25">
        <f t="shared" si="107"/>
        <v>-10</v>
      </c>
      <c r="T406" s="23" t="str">
        <f t="shared" si="108"/>
        <v>To Paid</v>
      </c>
      <c r="U406" s="23"/>
      <c r="V406" s="1" t="s">
        <v>841</v>
      </c>
    </row>
    <row r="407" spans="1:22" x14ac:dyDescent="0.3">
      <c r="A407" s="6">
        <v>406</v>
      </c>
      <c r="B407" s="1" t="s">
        <v>28</v>
      </c>
      <c r="C407" s="1" t="s">
        <v>839</v>
      </c>
      <c r="D407" s="1" t="s">
        <v>842</v>
      </c>
      <c r="E407" s="1">
        <v>1510003367</v>
      </c>
      <c r="F407" s="8" t="s">
        <v>9</v>
      </c>
      <c r="G407" s="1" t="s">
        <v>31</v>
      </c>
      <c r="H407" s="1" t="s">
        <v>25</v>
      </c>
      <c r="I407" s="11">
        <v>46303</v>
      </c>
      <c r="J407" s="11">
        <v>46309</v>
      </c>
      <c r="K407" s="11">
        <v>46309</v>
      </c>
      <c r="L407" s="11">
        <v>46310</v>
      </c>
      <c r="M407" s="1" t="s">
        <v>32</v>
      </c>
      <c r="N407" s="6">
        <v>5</v>
      </c>
      <c r="O407" s="6">
        <v>15</v>
      </c>
      <c r="P407" s="12">
        <f t="shared" si="104"/>
        <v>46307</v>
      </c>
      <c r="Q407" s="12">
        <f t="shared" si="105"/>
        <v>46323</v>
      </c>
      <c r="R407" s="24">
        <f t="shared" si="106"/>
        <v>2</v>
      </c>
      <c r="S407" s="25">
        <f t="shared" si="107"/>
        <v>-13</v>
      </c>
      <c r="T407" s="23" t="str">
        <f t="shared" si="108"/>
        <v>To Paid</v>
      </c>
      <c r="U407" s="23"/>
      <c r="V407" s="1" t="s">
        <v>841</v>
      </c>
    </row>
    <row r="408" spans="1:22" x14ac:dyDescent="0.3">
      <c r="A408" s="6">
        <v>407</v>
      </c>
      <c r="B408" s="1" t="s">
        <v>28</v>
      </c>
      <c r="C408" s="1" t="s">
        <v>843</v>
      </c>
      <c r="D408" s="1" t="s">
        <v>844</v>
      </c>
      <c r="E408" s="1">
        <v>1510003363</v>
      </c>
      <c r="F408" s="7" t="s">
        <v>699</v>
      </c>
      <c r="G408" s="1" t="s">
        <v>845</v>
      </c>
      <c r="H408" s="1" t="s">
        <v>25</v>
      </c>
      <c r="I408" s="11">
        <v>46303</v>
      </c>
      <c r="J408" s="11"/>
      <c r="K408" s="11"/>
      <c r="L408" s="11"/>
      <c r="M408" s="1" t="s">
        <v>32</v>
      </c>
      <c r="N408" s="6">
        <v>7</v>
      </c>
      <c r="O408" s="6">
        <v>8</v>
      </c>
      <c r="P408" s="12">
        <f t="shared" si="104"/>
        <v>46309</v>
      </c>
      <c r="Q408" s="12">
        <f t="shared" si="105"/>
        <v>7</v>
      </c>
      <c r="R408" s="24">
        <f t="shared" si="106"/>
        <v>-46309</v>
      </c>
      <c r="S408" s="25">
        <f t="shared" si="107"/>
        <v>-7</v>
      </c>
      <c r="T408" s="23" t="str">
        <f t="shared" si="108"/>
        <v>No</v>
      </c>
      <c r="U408" s="23"/>
      <c r="V408" s="1" t="s">
        <v>846</v>
      </c>
    </row>
    <row r="409" spans="1:22" x14ac:dyDescent="0.3">
      <c r="A409" s="6">
        <v>408</v>
      </c>
      <c r="B409" s="1" t="s">
        <v>28</v>
      </c>
      <c r="C409" s="1" t="s">
        <v>843</v>
      </c>
      <c r="D409" s="1" t="s">
        <v>847</v>
      </c>
      <c r="E409" s="1">
        <v>1510003363</v>
      </c>
      <c r="F409" s="7" t="s">
        <v>699</v>
      </c>
      <c r="G409" s="1" t="s">
        <v>845</v>
      </c>
      <c r="H409" s="1" t="s">
        <v>25</v>
      </c>
      <c r="I409" s="11">
        <v>46303</v>
      </c>
      <c r="J409" s="11"/>
      <c r="K409" s="11"/>
      <c r="L409" s="11"/>
      <c r="M409" s="1" t="s">
        <v>32</v>
      </c>
      <c r="N409" s="6">
        <v>7</v>
      </c>
      <c r="O409" s="6">
        <v>8</v>
      </c>
      <c r="P409" s="12">
        <f t="shared" si="104"/>
        <v>46309</v>
      </c>
      <c r="Q409" s="12">
        <f t="shared" si="105"/>
        <v>7</v>
      </c>
      <c r="R409" s="24">
        <f t="shared" si="106"/>
        <v>-46309</v>
      </c>
      <c r="S409" s="25">
        <f t="shared" si="107"/>
        <v>-7</v>
      </c>
      <c r="T409" s="23" t="str">
        <f t="shared" si="108"/>
        <v>No</v>
      </c>
      <c r="U409" s="23"/>
      <c r="V409" s="1" t="s">
        <v>846</v>
      </c>
    </row>
    <row r="410" spans="1:22" x14ac:dyDescent="0.3">
      <c r="A410" s="6">
        <v>409</v>
      </c>
      <c r="B410" s="1" t="s">
        <v>488</v>
      </c>
      <c r="C410" s="1" t="s">
        <v>848</v>
      </c>
      <c r="D410" s="1" t="s">
        <v>849</v>
      </c>
      <c r="E410" s="1">
        <v>1510003652</v>
      </c>
      <c r="F410" s="8" t="s">
        <v>9</v>
      </c>
      <c r="G410" s="1" t="s">
        <v>850</v>
      </c>
      <c r="H410" s="1" t="s">
        <v>25</v>
      </c>
      <c r="I410" s="11">
        <v>46301</v>
      </c>
      <c r="J410" s="11">
        <v>46305</v>
      </c>
      <c r="K410" s="11">
        <v>46308</v>
      </c>
      <c r="L410" s="11">
        <v>46310</v>
      </c>
      <c r="M410" s="1" t="s">
        <v>26</v>
      </c>
      <c r="N410" s="6">
        <v>7</v>
      </c>
      <c r="O410" s="6">
        <v>7</v>
      </c>
      <c r="P410" s="12">
        <f t="shared" si="104"/>
        <v>46307</v>
      </c>
      <c r="Q410" s="12">
        <f t="shared" si="105"/>
        <v>46311</v>
      </c>
      <c r="R410" s="24">
        <f t="shared" si="106"/>
        <v>-2</v>
      </c>
      <c r="S410" s="25">
        <f t="shared" si="107"/>
        <v>-1</v>
      </c>
      <c r="T410" s="23" t="str">
        <f t="shared" si="108"/>
        <v>No</v>
      </c>
      <c r="U410" s="23"/>
      <c r="V410" s="1" t="s">
        <v>851</v>
      </c>
    </row>
    <row r="411" spans="1:22" x14ac:dyDescent="0.3">
      <c r="A411" s="6">
        <v>410</v>
      </c>
      <c r="B411" s="1" t="s">
        <v>317</v>
      </c>
      <c r="C411" s="1" t="s">
        <v>852</v>
      </c>
      <c r="D411" s="1" t="s">
        <v>853</v>
      </c>
      <c r="E411" s="1">
        <v>1510003660</v>
      </c>
      <c r="F411" s="8" t="s">
        <v>9</v>
      </c>
      <c r="G411" s="1" t="s">
        <v>724</v>
      </c>
      <c r="H411" s="1" t="s">
        <v>25</v>
      </c>
      <c r="I411" s="11">
        <v>46299</v>
      </c>
      <c r="J411" s="11">
        <v>46308</v>
      </c>
      <c r="K411" s="11">
        <v>46310</v>
      </c>
      <c r="L411" s="11">
        <v>46311</v>
      </c>
      <c r="M411" s="1" t="s">
        <v>32</v>
      </c>
      <c r="N411" s="6">
        <v>14</v>
      </c>
      <c r="O411" s="6">
        <v>7</v>
      </c>
      <c r="P411" s="12">
        <f t="shared" si="104"/>
        <v>46312</v>
      </c>
      <c r="Q411" s="12">
        <f t="shared" si="105"/>
        <v>46314</v>
      </c>
      <c r="R411" s="24">
        <f t="shared" si="106"/>
        <v>-4</v>
      </c>
      <c r="S411" s="25">
        <f t="shared" si="107"/>
        <v>-3</v>
      </c>
      <c r="T411" s="23" t="str">
        <f t="shared" si="108"/>
        <v>No</v>
      </c>
      <c r="U411" s="7" t="s">
        <v>699</v>
      </c>
      <c r="V411" s="1" t="s">
        <v>854</v>
      </c>
    </row>
    <row r="412" spans="1:22" x14ac:dyDescent="0.3">
      <c r="A412" s="6">
        <v>411</v>
      </c>
      <c r="B412" s="1" t="s">
        <v>317</v>
      </c>
      <c r="C412" s="1" t="s">
        <v>852</v>
      </c>
      <c r="D412" s="1" t="s">
        <v>855</v>
      </c>
      <c r="E412" s="1">
        <v>1510003660</v>
      </c>
      <c r="F412" s="8" t="s">
        <v>9</v>
      </c>
      <c r="G412" s="1" t="s">
        <v>724</v>
      </c>
      <c r="H412" s="1" t="s">
        <v>25</v>
      </c>
      <c r="I412" s="11">
        <v>46299</v>
      </c>
      <c r="J412" s="11">
        <v>46309</v>
      </c>
      <c r="K412" s="11">
        <v>46317</v>
      </c>
      <c r="L412" s="11">
        <v>46318</v>
      </c>
      <c r="M412" s="1" t="s">
        <v>32</v>
      </c>
      <c r="N412" s="6">
        <v>14</v>
      </c>
      <c r="O412" s="6">
        <v>7</v>
      </c>
      <c r="P412" s="12">
        <f t="shared" si="104"/>
        <v>46312</v>
      </c>
      <c r="Q412" s="12">
        <f t="shared" si="105"/>
        <v>46315</v>
      </c>
      <c r="R412" s="24">
        <f t="shared" si="106"/>
        <v>-3</v>
      </c>
      <c r="S412" s="25">
        <f t="shared" si="107"/>
        <v>3</v>
      </c>
      <c r="T412" s="23" t="str">
        <f t="shared" si="108"/>
        <v>No</v>
      </c>
      <c r="U412" s="7" t="s">
        <v>699</v>
      </c>
      <c r="V412" s="1" t="s">
        <v>854</v>
      </c>
    </row>
    <row r="413" spans="1:22" x14ac:dyDescent="0.3">
      <c r="A413" s="6">
        <v>412</v>
      </c>
      <c r="B413" s="1" t="s">
        <v>317</v>
      </c>
      <c r="C413" s="1" t="s">
        <v>852</v>
      </c>
      <c r="D413" s="1" t="s">
        <v>856</v>
      </c>
      <c r="E413" s="1">
        <v>1510003660</v>
      </c>
      <c r="F413" s="8" t="s">
        <v>9</v>
      </c>
      <c r="G413" s="1" t="s">
        <v>724</v>
      </c>
      <c r="H413" s="1" t="s">
        <v>25</v>
      </c>
      <c r="I413" s="11">
        <v>46298</v>
      </c>
      <c r="J413" s="11">
        <v>46309</v>
      </c>
      <c r="K413" s="11"/>
      <c r="L413" s="11"/>
      <c r="M413" s="1" t="s">
        <v>32</v>
      </c>
      <c r="N413" s="6">
        <v>14</v>
      </c>
      <c r="O413" s="6">
        <v>7</v>
      </c>
      <c r="P413" s="12">
        <f t="shared" si="104"/>
        <v>46311</v>
      </c>
      <c r="Q413" s="12">
        <f t="shared" si="105"/>
        <v>46315</v>
      </c>
      <c r="R413" s="24">
        <f t="shared" si="106"/>
        <v>-2</v>
      </c>
      <c r="S413" s="25">
        <f t="shared" si="107"/>
        <v>-46315</v>
      </c>
      <c r="T413" s="23" t="str">
        <f t="shared" si="108"/>
        <v>No</v>
      </c>
      <c r="U413" s="7" t="s">
        <v>699</v>
      </c>
      <c r="V413" s="1" t="s">
        <v>854</v>
      </c>
    </row>
    <row r="414" spans="1:22" x14ac:dyDescent="0.3">
      <c r="A414" s="6">
        <v>413</v>
      </c>
      <c r="B414" s="1" t="s">
        <v>317</v>
      </c>
      <c r="C414" s="1" t="s">
        <v>857</v>
      </c>
      <c r="D414" s="1" t="s">
        <v>858</v>
      </c>
      <c r="E414" s="1">
        <v>1510003660</v>
      </c>
      <c r="F414" s="8" t="s">
        <v>9</v>
      </c>
      <c r="G414" s="1" t="s">
        <v>729</v>
      </c>
      <c r="H414" s="1" t="s">
        <v>25</v>
      </c>
      <c r="I414" s="11">
        <v>46298</v>
      </c>
      <c r="J414" s="11">
        <v>46311</v>
      </c>
      <c r="K414" s="11"/>
      <c r="L414" s="11"/>
      <c r="M414" s="1" t="s">
        <v>32</v>
      </c>
      <c r="N414" s="6">
        <v>21</v>
      </c>
      <c r="O414" s="6">
        <v>0</v>
      </c>
      <c r="P414" s="12">
        <f t="shared" si="104"/>
        <v>46318</v>
      </c>
      <c r="Q414" s="12">
        <f t="shared" si="105"/>
        <v>46310</v>
      </c>
      <c r="R414" s="24">
        <f t="shared" si="106"/>
        <v>-7</v>
      </c>
      <c r="S414" s="25">
        <f t="shared" si="107"/>
        <v>-46310</v>
      </c>
      <c r="T414" s="23" t="str">
        <f t="shared" si="108"/>
        <v>No</v>
      </c>
      <c r="U414" s="7" t="s">
        <v>699</v>
      </c>
      <c r="V414" s="1" t="s">
        <v>859</v>
      </c>
    </row>
    <row r="415" spans="1:22" x14ac:dyDescent="0.3">
      <c r="A415" s="6">
        <v>414</v>
      </c>
      <c r="B415" s="1" t="s">
        <v>317</v>
      </c>
      <c r="C415" s="1" t="s">
        <v>860</v>
      </c>
      <c r="D415" s="1" t="s">
        <v>861</v>
      </c>
      <c r="E415" s="1">
        <v>1510003660</v>
      </c>
      <c r="F415" s="8" t="s">
        <v>9</v>
      </c>
      <c r="G415" s="1" t="s">
        <v>724</v>
      </c>
      <c r="H415" s="1" t="s">
        <v>25</v>
      </c>
      <c r="I415" s="11">
        <v>46298</v>
      </c>
      <c r="J415" s="11">
        <v>46306</v>
      </c>
      <c r="K415" s="11">
        <v>46307</v>
      </c>
      <c r="L415" s="11">
        <v>46308</v>
      </c>
      <c r="M415" s="1" t="s">
        <v>32</v>
      </c>
      <c r="N415" s="6">
        <v>21</v>
      </c>
      <c r="O415" s="6">
        <v>0</v>
      </c>
      <c r="P415" s="12">
        <f t="shared" si="104"/>
        <v>46318</v>
      </c>
      <c r="Q415" s="12">
        <f t="shared" si="105"/>
        <v>46305</v>
      </c>
      <c r="R415" s="24">
        <f t="shared" si="106"/>
        <v>-12</v>
      </c>
      <c r="S415" s="25">
        <f t="shared" si="107"/>
        <v>3</v>
      </c>
      <c r="T415" s="23" t="str">
        <f t="shared" si="108"/>
        <v>No</v>
      </c>
      <c r="U415" s="7" t="s">
        <v>699</v>
      </c>
      <c r="V415" s="1" t="s">
        <v>862</v>
      </c>
    </row>
    <row r="416" spans="1:22" x14ac:dyDescent="0.3">
      <c r="A416" s="6">
        <v>415</v>
      </c>
      <c r="B416" s="1" t="s">
        <v>317</v>
      </c>
      <c r="C416" s="1" t="s">
        <v>863</v>
      </c>
      <c r="D416" s="1" t="s">
        <v>864</v>
      </c>
      <c r="E416" s="1">
        <v>1510003661</v>
      </c>
      <c r="F416" s="8" t="s">
        <v>9</v>
      </c>
      <c r="G416" s="1" t="s">
        <v>865</v>
      </c>
      <c r="H416" s="1" t="s">
        <v>25</v>
      </c>
      <c r="I416" s="11">
        <v>46299</v>
      </c>
      <c r="J416" s="11">
        <v>46310</v>
      </c>
      <c r="K416" s="11">
        <v>46311</v>
      </c>
      <c r="L416" s="11">
        <v>46313</v>
      </c>
      <c r="M416" s="1" t="s">
        <v>26</v>
      </c>
      <c r="N416" s="6">
        <v>14</v>
      </c>
      <c r="O416" s="6">
        <v>7</v>
      </c>
      <c r="P416" s="12">
        <f t="shared" si="104"/>
        <v>46312</v>
      </c>
      <c r="Q416" s="12">
        <f t="shared" si="105"/>
        <v>46316</v>
      </c>
      <c r="R416" s="24">
        <f t="shared" si="106"/>
        <v>-2</v>
      </c>
      <c r="S416" s="25">
        <f t="shared" si="107"/>
        <v>-3</v>
      </c>
      <c r="T416" s="23" t="str">
        <f t="shared" si="108"/>
        <v>No</v>
      </c>
      <c r="U416" s="7" t="s">
        <v>699</v>
      </c>
      <c r="V416" s="1" t="s">
        <v>866</v>
      </c>
    </row>
    <row r="417" spans="1:22" x14ac:dyDescent="0.3">
      <c r="A417" s="6">
        <v>416</v>
      </c>
      <c r="B417" s="1" t="s">
        <v>317</v>
      </c>
      <c r="C417" s="1" t="s">
        <v>863</v>
      </c>
      <c r="D417" s="1" t="s">
        <v>867</v>
      </c>
      <c r="E417" s="1">
        <v>1510003661</v>
      </c>
      <c r="F417" s="8" t="s">
        <v>9</v>
      </c>
      <c r="G417" s="1" t="s">
        <v>868</v>
      </c>
      <c r="H417" s="1" t="s">
        <v>25</v>
      </c>
      <c r="I417" s="11">
        <v>46299</v>
      </c>
      <c r="J417" s="11">
        <v>46310</v>
      </c>
      <c r="K417" s="11">
        <v>46317</v>
      </c>
      <c r="L417" s="11"/>
      <c r="M417" s="1" t="s">
        <v>26</v>
      </c>
      <c r="N417" s="6">
        <v>14</v>
      </c>
      <c r="O417" s="6">
        <v>7</v>
      </c>
      <c r="P417" s="12">
        <f t="shared" si="104"/>
        <v>46312</v>
      </c>
      <c r="Q417" s="12">
        <f t="shared" si="105"/>
        <v>46316</v>
      </c>
      <c r="R417" s="24">
        <f t="shared" si="106"/>
        <v>-2</v>
      </c>
      <c r="S417" s="25">
        <f t="shared" si="107"/>
        <v>-46316</v>
      </c>
      <c r="T417" s="23" t="str">
        <f t="shared" si="108"/>
        <v>No</v>
      </c>
      <c r="U417" s="7" t="s">
        <v>699</v>
      </c>
      <c r="V417" s="1" t="s">
        <v>866</v>
      </c>
    </row>
    <row r="418" spans="1:22" x14ac:dyDescent="0.3">
      <c r="A418" s="6">
        <v>417</v>
      </c>
      <c r="B418" s="1" t="s">
        <v>317</v>
      </c>
      <c r="C418" s="1" t="s">
        <v>863</v>
      </c>
      <c r="D418" s="1" t="s">
        <v>869</v>
      </c>
      <c r="E418" s="1">
        <v>1510003661</v>
      </c>
      <c r="F418" s="8" t="s">
        <v>9</v>
      </c>
      <c r="G418" s="1" t="s">
        <v>729</v>
      </c>
      <c r="H418" s="1" t="s">
        <v>25</v>
      </c>
      <c r="I418" s="11">
        <v>46299</v>
      </c>
      <c r="J418" s="11">
        <v>46310</v>
      </c>
      <c r="K418" s="11">
        <v>46311</v>
      </c>
      <c r="L418" s="11">
        <v>46313</v>
      </c>
      <c r="M418" s="1" t="s">
        <v>26</v>
      </c>
      <c r="N418" s="6">
        <v>14</v>
      </c>
      <c r="O418" s="6">
        <v>7</v>
      </c>
      <c r="P418" s="12">
        <f t="shared" si="104"/>
        <v>46312</v>
      </c>
      <c r="Q418" s="12">
        <f t="shared" si="105"/>
        <v>46316</v>
      </c>
      <c r="R418" s="24">
        <f t="shared" si="106"/>
        <v>-2</v>
      </c>
      <c r="S418" s="25">
        <f t="shared" si="107"/>
        <v>-3</v>
      </c>
      <c r="T418" s="23" t="str">
        <f t="shared" si="108"/>
        <v>No</v>
      </c>
      <c r="U418" s="7" t="s">
        <v>699</v>
      </c>
      <c r="V418" s="1" t="s">
        <v>866</v>
      </c>
    </row>
    <row r="419" spans="1:22" ht="28.8" x14ac:dyDescent="0.3">
      <c r="A419" s="6">
        <v>418</v>
      </c>
      <c r="B419" s="1" t="s">
        <v>117</v>
      </c>
      <c r="C419" s="1" t="s">
        <v>870</v>
      </c>
      <c r="D419" s="1" t="s">
        <v>871</v>
      </c>
      <c r="E419" s="1">
        <v>1510003636</v>
      </c>
      <c r="F419" s="7" t="s">
        <v>699</v>
      </c>
      <c r="G419" s="9" t="s">
        <v>872</v>
      </c>
      <c r="H419" s="1" t="s">
        <v>25</v>
      </c>
      <c r="I419" s="11">
        <v>46306</v>
      </c>
      <c r="J419" s="11"/>
      <c r="K419" s="11"/>
      <c r="L419" s="11"/>
      <c r="M419" s="1" t="s">
        <v>32</v>
      </c>
      <c r="N419" s="6">
        <v>20</v>
      </c>
      <c r="O419" s="6">
        <v>15</v>
      </c>
      <c r="P419" s="12">
        <f t="shared" si="104"/>
        <v>46325</v>
      </c>
      <c r="Q419" s="12">
        <f t="shared" si="105"/>
        <v>14</v>
      </c>
      <c r="R419" s="24">
        <f t="shared" si="106"/>
        <v>-46325</v>
      </c>
      <c r="S419" s="25">
        <f t="shared" si="107"/>
        <v>-14</v>
      </c>
      <c r="T419" s="23" t="str">
        <f t="shared" si="108"/>
        <v>No</v>
      </c>
      <c r="U419" s="23"/>
      <c r="V419" s="1" t="s">
        <v>873</v>
      </c>
    </row>
    <row r="420" spans="1:22" x14ac:dyDescent="0.3">
      <c r="A420" s="6">
        <v>419</v>
      </c>
      <c r="B420" s="1" t="s">
        <v>28</v>
      </c>
      <c r="C420" s="1" t="s">
        <v>874</v>
      </c>
      <c r="D420" s="1" t="s">
        <v>875</v>
      </c>
      <c r="E420" s="1">
        <v>1510003368</v>
      </c>
      <c r="F420" s="7" t="s">
        <v>699</v>
      </c>
      <c r="G420" s="1" t="s">
        <v>31</v>
      </c>
      <c r="H420" s="1" t="s">
        <v>25</v>
      </c>
      <c r="I420" s="11" t="s">
        <v>876</v>
      </c>
      <c r="J420" s="11"/>
      <c r="K420" s="11"/>
      <c r="L420" s="11"/>
      <c r="M420" s="1" t="s">
        <v>32</v>
      </c>
      <c r="N420" s="6">
        <v>7</v>
      </c>
      <c r="O420" s="6">
        <v>8</v>
      </c>
      <c r="P420" s="12" t="e">
        <f t="shared" si="104"/>
        <v>#VALUE!</v>
      </c>
      <c r="Q420" s="12">
        <f t="shared" si="105"/>
        <v>7</v>
      </c>
      <c r="R420" s="24" t="e">
        <f t="shared" si="106"/>
        <v>#VALUE!</v>
      </c>
      <c r="S420" s="25">
        <f t="shared" si="107"/>
        <v>-7</v>
      </c>
      <c r="T420" s="23" t="e">
        <f t="shared" si="108"/>
        <v>#VALUE!</v>
      </c>
      <c r="U420" s="23"/>
      <c r="V420" s="1" t="s">
        <v>877</v>
      </c>
    </row>
    <row r="421" spans="1:22" x14ac:dyDescent="0.3">
      <c r="A421" s="6">
        <v>420</v>
      </c>
      <c r="B421" s="1" t="s">
        <v>28</v>
      </c>
      <c r="C421" s="1" t="s">
        <v>878</v>
      </c>
      <c r="D421" s="1" t="s">
        <v>879</v>
      </c>
      <c r="E421" s="1">
        <v>1510003377</v>
      </c>
      <c r="F421" s="7" t="s">
        <v>699</v>
      </c>
      <c r="G421" s="1" t="s">
        <v>31</v>
      </c>
      <c r="H421" s="1" t="s">
        <v>25</v>
      </c>
      <c r="I421" s="11" t="s">
        <v>880</v>
      </c>
      <c r="J421" s="11"/>
      <c r="K421" s="11"/>
      <c r="L421" s="11"/>
      <c r="M421" s="1" t="s">
        <v>32</v>
      </c>
      <c r="N421" s="6">
        <v>5</v>
      </c>
      <c r="O421" s="6">
        <v>15</v>
      </c>
      <c r="P421" s="12" t="e">
        <f t="shared" si="104"/>
        <v>#VALUE!</v>
      </c>
      <c r="Q421" s="12">
        <f t="shared" si="105"/>
        <v>14</v>
      </c>
      <c r="R421" s="24" t="e">
        <f t="shared" si="106"/>
        <v>#VALUE!</v>
      </c>
      <c r="S421" s="25">
        <f t="shared" si="107"/>
        <v>-14</v>
      </c>
      <c r="T421" s="23" t="e">
        <f t="shared" si="108"/>
        <v>#VALUE!</v>
      </c>
      <c r="U421" s="23"/>
      <c r="V421" s="1"/>
    </row>
    <row r="422" spans="1:22" x14ac:dyDescent="0.3">
      <c r="A422" s="6">
        <v>421</v>
      </c>
      <c r="B422" s="1" t="s">
        <v>28</v>
      </c>
      <c r="C422" s="1" t="s">
        <v>878</v>
      </c>
      <c r="D422" s="1" t="s">
        <v>881</v>
      </c>
      <c r="E422" s="1">
        <v>1510003377</v>
      </c>
      <c r="F422" s="7" t="s">
        <v>699</v>
      </c>
      <c r="G422" s="1" t="s">
        <v>31</v>
      </c>
      <c r="H422" s="1" t="s">
        <v>25</v>
      </c>
      <c r="I422" s="11" t="s">
        <v>880</v>
      </c>
      <c r="J422" s="11"/>
      <c r="K422" s="11"/>
      <c r="L422" s="11"/>
      <c r="M422" s="1" t="s">
        <v>32</v>
      </c>
      <c r="N422" s="6">
        <v>5</v>
      </c>
      <c r="O422" s="6">
        <v>15</v>
      </c>
      <c r="P422" s="12" t="e">
        <f t="shared" si="104"/>
        <v>#VALUE!</v>
      </c>
      <c r="Q422" s="12">
        <f t="shared" si="105"/>
        <v>14</v>
      </c>
      <c r="R422" s="24" t="e">
        <f t="shared" si="106"/>
        <v>#VALUE!</v>
      </c>
      <c r="S422" s="25">
        <f t="shared" si="107"/>
        <v>-14</v>
      </c>
      <c r="T422" s="23" t="e">
        <f t="shared" si="108"/>
        <v>#VALUE!</v>
      </c>
      <c r="U422" s="23"/>
      <c r="V422" s="1"/>
    </row>
    <row r="423" spans="1:22" x14ac:dyDescent="0.3">
      <c r="A423" s="6">
        <v>422</v>
      </c>
      <c r="B423" s="1" t="s">
        <v>28</v>
      </c>
      <c r="C423" s="1" t="s">
        <v>882</v>
      </c>
      <c r="D423" s="1" t="s">
        <v>883</v>
      </c>
      <c r="E423" s="1">
        <v>1510003365</v>
      </c>
      <c r="F423" s="7" t="s">
        <v>699</v>
      </c>
      <c r="G423" s="1" t="s">
        <v>140</v>
      </c>
      <c r="H423" s="1" t="s">
        <v>25</v>
      </c>
      <c r="I423" s="11" t="s">
        <v>884</v>
      </c>
      <c r="J423" s="11"/>
      <c r="K423" s="11"/>
      <c r="L423" s="11"/>
      <c r="M423" s="1" t="s">
        <v>32</v>
      </c>
      <c r="N423" s="6">
        <v>5</v>
      </c>
      <c r="O423" s="6">
        <v>15</v>
      </c>
      <c r="P423" s="12" t="e">
        <f t="shared" si="104"/>
        <v>#VALUE!</v>
      </c>
      <c r="Q423" s="12">
        <f t="shared" si="105"/>
        <v>14</v>
      </c>
      <c r="R423" s="24" t="e">
        <f t="shared" si="106"/>
        <v>#VALUE!</v>
      </c>
      <c r="S423" s="25">
        <f t="shared" si="107"/>
        <v>-14</v>
      </c>
      <c r="T423" s="23" t="e">
        <f t="shared" si="108"/>
        <v>#VALUE!</v>
      </c>
      <c r="U423" s="23"/>
      <c r="V423" s="1"/>
    </row>
    <row r="424" spans="1:22" x14ac:dyDescent="0.3">
      <c r="A424" s="6">
        <v>423</v>
      </c>
      <c r="B424" s="1" t="s">
        <v>28</v>
      </c>
      <c r="C424" s="1" t="s">
        <v>882</v>
      </c>
      <c r="D424" s="1" t="s">
        <v>885</v>
      </c>
      <c r="E424" s="1">
        <v>1510003365</v>
      </c>
      <c r="F424" s="7" t="s">
        <v>699</v>
      </c>
      <c r="G424" s="1" t="s">
        <v>140</v>
      </c>
      <c r="H424" s="1" t="s">
        <v>25</v>
      </c>
      <c r="I424" s="11" t="s">
        <v>884</v>
      </c>
      <c r="J424" s="11"/>
      <c r="K424" s="11"/>
      <c r="L424" s="11"/>
      <c r="M424" s="1" t="s">
        <v>32</v>
      </c>
      <c r="N424" s="6">
        <v>5</v>
      </c>
      <c r="O424" s="6">
        <v>15</v>
      </c>
      <c r="P424" s="12" t="e">
        <f t="shared" si="104"/>
        <v>#VALUE!</v>
      </c>
      <c r="Q424" s="12">
        <f t="shared" si="105"/>
        <v>14</v>
      </c>
      <c r="R424" s="24" t="e">
        <f t="shared" si="106"/>
        <v>#VALUE!</v>
      </c>
      <c r="S424" s="25">
        <f t="shared" si="107"/>
        <v>-14</v>
      </c>
      <c r="T424" s="23" t="e">
        <f t="shared" si="108"/>
        <v>#VALUE!</v>
      </c>
      <c r="U424" s="23"/>
      <c r="V424" s="1"/>
    </row>
    <row r="425" spans="1:22" x14ac:dyDescent="0.3">
      <c r="A425" s="6">
        <v>424</v>
      </c>
      <c r="B425" s="1" t="s">
        <v>317</v>
      </c>
      <c r="C425" s="1" t="s">
        <v>886</v>
      </c>
      <c r="D425" s="1" t="s">
        <v>887</v>
      </c>
      <c r="E425" s="1">
        <v>1510003661</v>
      </c>
      <c r="F425" s="8" t="s">
        <v>9</v>
      </c>
      <c r="G425" s="1" t="s">
        <v>724</v>
      </c>
      <c r="H425" s="1" t="s">
        <v>25</v>
      </c>
      <c r="I425" s="11">
        <v>46306</v>
      </c>
      <c r="J425" s="11">
        <v>46315</v>
      </c>
      <c r="K425" s="11"/>
      <c r="L425" s="11"/>
      <c r="M425" s="1" t="s">
        <v>26</v>
      </c>
      <c r="N425" s="6">
        <v>14</v>
      </c>
      <c r="O425" s="6">
        <v>7</v>
      </c>
      <c r="P425" s="12">
        <f t="shared" si="104"/>
        <v>46319</v>
      </c>
      <c r="Q425" s="12">
        <f t="shared" si="105"/>
        <v>46321</v>
      </c>
      <c r="R425" s="24">
        <f t="shared" si="106"/>
        <v>-4</v>
      </c>
      <c r="S425" s="25">
        <f t="shared" si="107"/>
        <v>-46321</v>
      </c>
      <c r="T425" s="23" t="str">
        <f t="shared" si="108"/>
        <v>No</v>
      </c>
      <c r="U425" s="23"/>
      <c r="V425" s="1" t="s">
        <v>888</v>
      </c>
    </row>
    <row r="426" spans="1:22" x14ac:dyDescent="0.3">
      <c r="A426" s="6">
        <v>425</v>
      </c>
      <c r="B426" s="1" t="s">
        <v>317</v>
      </c>
      <c r="C426" s="1" t="s">
        <v>886</v>
      </c>
      <c r="D426" s="1" t="s">
        <v>889</v>
      </c>
      <c r="E426" s="1">
        <v>1510003661</v>
      </c>
      <c r="F426" s="8" t="s">
        <v>9</v>
      </c>
      <c r="G426" s="1" t="s">
        <v>724</v>
      </c>
      <c r="H426" s="1" t="s">
        <v>25</v>
      </c>
      <c r="I426" s="11">
        <v>46306</v>
      </c>
      <c r="J426" s="11">
        <v>46315</v>
      </c>
      <c r="K426" s="11"/>
      <c r="L426" s="11"/>
      <c r="M426" s="1" t="s">
        <v>26</v>
      </c>
      <c r="N426" s="6">
        <v>14</v>
      </c>
      <c r="O426" s="6">
        <v>7</v>
      </c>
      <c r="P426" s="12">
        <f t="shared" si="104"/>
        <v>46319</v>
      </c>
      <c r="Q426" s="12">
        <f t="shared" si="105"/>
        <v>46321</v>
      </c>
      <c r="R426" s="24">
        <f t="shared" si="106"/>
        <v>-4</v>
      </c>
      <c r="S426" s="25">
        <f t="shared" si="107"/>
        <v>-46321</v>
      </c>
      <c r="T426" s="23" t="str">
        <f t="shared" si="108"/>
        <v>No</v>
      </c>
      <c r="U426" s="23"/>
      <c r="V426" s="1" t="s">
        <v>890</v>
      </c>
    </row>
    <row r="427" spans="1:22" x14ac:dyDescent="0.3">
      <c r="A427" s="6">
        <v>426</v>
      </c>
      <c r="B427" s="1" t="s">
        <v>317</v>
      </c>
      <c r="C427" s="1" t="s">
        <v>886</v>
      </c>
      <c r="D427" s="1" t="s">
        <v>891</v>
      </c>
      <c r="E427" s="1">
        <v>1510003661</v>
      </c>
      <c r="F427" s="8" t="s">
        <v>9</v>
      </c>
      <c r="G427" s="1" t="s">
        <v>724</v>
      </c>
      <c r="H427" s="1" t="s">
        <v>25</v>
      </c>
      <c r="I427" s="11">
        <v>46306</v>
      </c>
      <c r="J427" s="11">
        <v>46315</v>
      </c>
      <c r="K427" s="11"/>
      <c r="L427" s="11"/>
      <c r="M427" s="1" t="s">
        <v>26</v>
      </c>
      <c r="N427" s="6">
        <v>14</v>
      </c>
      <c r="O427" s="6">
        <v>7</v>
      </c>
      <c r="P427" s="12">
        <f t="shared" si="104"/>
        <v>46319</v>
      </c>
      <c r="Q427" s="12">
        <f t="shared" si="105"/>
        <v>46321</v>
      </c>
      <c r="R427" s="24">
        <f t="shared" si="106"/>
        <v>-4</v>
      </c>
      <c r="S427" s="25">
        <f t="shared" si="107"/>
        <v>-46321</v>
      </c>
      <c r="T427" s="23" t="str">
        <f t="shared" si="108"/>
        <v>No</v>
      </c>
      <c r="U427" s="23"/>
      <c r="V427" s="1" t="s">
        <v>890</v>
      </c>
    </row>
    <row r="428" spans="1:22" x14ac:dyDescent="0.3">
      <c r="A428" s="6">
        <v>427</v>
      </c>
      <c r="B428" s="1" t="s">
        <v>317</v>
      </c>
      <c r="C428" s="1" t="s">
        <v>886</v>
      </c>
      <c r="D428" s="1" t="s">
        <v>892</v>
      </c>
      <c r="E428" s="1">
        <v>1510003661</v>
      </c>
      <c r="F428" s="7" t="s">
        <v>699</v>
      </c>
      <c r="G428" s="1" t="s">
        <v>724</v>
      </c>
      <c r="H428" s="1" t="s">
        <v>25</v>
      </c>
      <c r="I428" s="11">
        <v>46306</v>
      </c>
      <c r="J428" s="11"/>
      <c r="K428" s="11"/>
      <c r="L428" s="11"/>
      <c r="M428" s="1" t="s">
        <v>26</v>
      </c>
      <c r="N428" s="6">
        <v>14</v>
      </c>
      <c r="O428" s="6">
        <v>7</v>
      </c>
      <c r="P428" s="12">
        <f t="shared" si="104"/>
        <v>46319</v>
      </c>
      <c r="Q428" s="12">
        <f t="shared" si="105"/>
        <v>6</v>
      </c>
      <c r="R428" s="24">
        <f t="shared" si="106"/>
        <v>-46319</v>
      </c>
      <c r="S428" s="25">
        <f t="shared" si="107"/>
        <v>-6</v>
      </c>
      <c r="T428" s="23" t="str">
        <f t="shared" si="108"/>
        <v>No</v>
      </c>
      <c r="U428" s="23"/>
      <c r="V428" s="1" t="s">
        <v>890</v>
      </c>
    </row>
    <row r="429" spans="1:22" x14ac:dyDescent="0.3">
      <c r="A429" s="6">
        <v>428</v>
      </c>
      <c r="B429" s="1" t="s">
        <v>41</v>
      </c>
      <c r="C429" s="1" t="s">
        <v>893</v>
      </c>
      <c r="D429" s="1" t="s">
        <v>894</v>
      </c>
      <c r="E429" s="1">
        <v>1510002952</v>
      </c>
      <c r="F429" s="7" t="s">
        <v>699</v>
      </c>
      <c r="G429" s="1" t="s">
        <v>44</v>
      </c>
      <c r="H429" s="1" t="s">
        <v>25</v>
      </c>
      <c r="I429" s="11" t="s">
        <v>895</v>
      </c>
      <c r="J429" s="11"/>
      <c r="K429" s="11"/>
      <c r="L429" s="11"/>
      <c r="M429" s="1" t="s">
        <v>26</v>
      </c>
      <c r="N429" s="6"/>
      <c r="O429" s="6"/>
      <c r="P429" s="12" t="e">
        <f t="shared" si="104"/>
        <v>#VALUE!</v>
      </c>
      <c r="Q429" s="12">
        <f t="shared" si="105"/>
        <v>-1</v>
      </c>
      <c r="R429" s="24" t="e">
        <f t="shared" si="106"/>
        <v>#VALUE!</v>
      </c>
      <c r="S429" s="25">
        <f t="shared" si="107"/>
        <v>1</v>
      </c>
      <c r="T429" s="23" t="e">
        <f t="shared" si="108"/>
        <v>#VALUE!</v>
      </c>
      <c r="U429" s="23"/>
      <c r="V429" s="1" t="s">
        <v>896</v>
      </c>
    </row>
    <row r="430" spans="1:22" x14ac:dyDescent="0.3">
      <c r="A430" s="6">
        <v>429</v>
      </c>
      <c r="B430" s="1" t="s">
        <v>488</v>
      </c>
      <c r="C430" s="1" t="s">
        <v>897</v>
      </c>
      <c r="D430" s="1" t="s">
        <v>898</v>
      </c>
      <c r="E430" s="1">
        <v>1510003834</v>
      </c>
      <c r="F430" s="7" t="s">
        <v>699</v>
      </c>
      <c r="G430" s="1" t="s">
        <v>899</v>
      </c>
      <c r="H430" s="1" t="s">
        <v>25</v>
      </c>
      <c r="I430" s="11" t="s">
        <v>900</v>
      </c>
      <c r="J430" s="11"/>
      <c r="K430" s="11"/>
      <c r="L430" s="11"/>
      <c r="M430" s="1" t="s">
        <v>26</v>
      </c>
      <c r="N430" s="6"/>
      <c r="O430" s="6"/>
      <c r="P430" s="12" t="e">
        <f t="shared" si="104"/>
        <v>#VALUE!</v>
      </c>
      <c r="Q430" s="12">
        <f t="shared" si="105"/>
        <v>-1</v>
      </c>
      <c r="R430" s="24" t="e">
        <f t="shared" si="106"/>
        <v>#VALUE!</v>
      </c>
      <c r="S430" s="25">
        <f t="shared" si="107"/>
        <v>1</v>
      </c>
      <c r="T430" s="23" t="e">
        <f t="shared" si="108"/>
        <v>#VALUE!</v>
      </c>
      <c r="U430" s="23"/>
      <c r="V430" s="1"/>
    </row>
    <row r="431" spans="1:22" x14ac:dyDescent="0.3">
      <c r="A431" s="6">
        <v>430</v>
      </c>
      <c r="B431" s="1" t="s">
        <v>21</v>
      </c>
      <c r="C431" s="1"/>
      <c r="D431" s="1" t="s">
        <v>901</v>
      </c>
      <c r="E431" s="1">
        <v>9700018937</v>
      </c>
      <c r="F431" s="7" t="s">
        <v>699</v>
      </c>
      <c r="G431" s="1" t="s">
        <v>902</v>
      </c>
      <c r="H431" s="1" t="s">
        <v>25</v>
      </c>
      <c r="I431" s="11" t="s">
        <v>903</v>
      </c>
      <c r="J431" s="11"/>
      <c r="K431" s="11"/>
      <c r="L431" s="11"/>
      <c r="M431" s="1" t="s">
        <v>26</v>
      </c>
      <c r="N431" s="6">
        <v>14</v>
      </c>
      <c r="O431" s="6">
        <v>14</v>
      </c>
      <c r="P431" s="12" t="e">
        <f t="shared" si="104"/>
        <v>#VALUE!</v>
      </c>
      <c r="Q431" s="12">
        <f t="shared" si="105"/>
        <v>13</v>
      </c>
      <c r="R431" s="24" t="e">
        <f t="shared" si="106"/>
        <v>#VALUE!</v>
      </c>
      <c r="S431" s="25">
        <f t="shared" si="107"/>
        <v>-13</v>
      </c>
      <c r="T431" s="23" t="e">
        <f t="shared" si="108"/>
        <v>#VALUE!</v>
      </c>
      <c r="U431" s="23"/>
      <c r="V431" s="1" t="s">
        <v>904</v>
      </c>
    </row>
    <row r="432" spans="1:22" x14ac:dyDescent="0.3">
      <c r="A432" s="6">
        <v>431</v>
      </c>
      <c r="B432" s="1" t="s">
        <v>21</v>
      </c>
      <c r="C432" s="1"/>
      <c r="D432" s="1" t="s">
        <v>905</v>
      </c>
      <c r="E432" s="1">
        <v>9700018937</v>
      </c>
      <c r="F432" s="7" t="s">
        <v>699</v>
      </c>
      <c r="G432" s="1" t="s">
        <v>781</v>
      </c>
      <c r="H432" s="1" t="s">
        <v>25</v>
      </c>
      <c r="I432" s="11" t="s">
        <v>903</v>
      </c>
      <c r="J432" s="11"/>
      <c r="K432" s="11"/>
      <c r="L432" s="11"/>
      <c r="M432" s="1" t="s">
        <v>26</v>
      </c>
      <c r="N432" s="6">
        <v>14</v>
      </c>
      <c r="O432" s="6">
        <v>14</v>
      </c>
      <c r="P432" s="12" t="e">
        <f t="shared" si="104"/>
        <v>#VALUE!</v>
      </c>
      <c r="Q432" s="12">
        <f t="shared" si="105"/>
        <v>13</v>
      </c>
      <c r="R432" s="24" t="e">
        <f t="shared" si="106"/>
        <v>#VALUE!</v>
      </c>
      <c r="S432" s="25">
        <f t="shared" si="107"/>
        <v>-13</v>
      </c>
      <c r="T432" s="23" t="e">
        <f t="shared" si="108"/>
        <v>#VALUE!</v>
      </c>
      <c r="U432" s="23"/>
      <c r="V432" s="1" t="s">
        <v>904</v>
      </c>
    </row>
    <row r="433" spans="1:22" x14ac:dyDescent="0.3">
      <c r="A433" s="6">
        <v>432</v>
      </c>
      <c r="B433" s="1" t="s">
        <v>21</v>
      </c>
      <c r="C433" s="1"/>
      <c r="D433" s="1" t="s">
        <v>906</v>
      </c>
      <c r="E433" s="1">
        <v>9700018937</v>
      </c>
      <c r="F433" s="7" t="s">
        <v>699</v>
      </c>
      <c r="G433" s="1" t="s">
        <v>788</v>
      </c>
      <c r="H433" s="1" t="s">
        <v>25</v>
      </c>
      <c r="I433" s="11" t="s">
        <v>903</v>
      </c>
      <c r="J433" s="11"/>
      <c r="K433" s="11"/>
      <c r="L433" s="11"/>
      <c r="M433" s="1" t="s">
        <v>26</v>
      </c>
      <c r="N433" s="6">
        <v>14</v>
      </c>
      <c r="O433" s="6">
        <v>14</v>
      </c>
      <c r="P433" s="12" t="e">
        <f t="shared" si="104"/>
        <v>#VALUE!</v>
      </c>
      <c r="Q433" s="12">
        <f t="shared" si="105"/>
        <v>13</v>
      </c>
      <c r="R433" s="24" t="e">
        <f t="shared" si="106"/>
        <v>#VALUE!</v>
      </c>
      <c r="S433" s="25">
        <f t="shared" si="107"/>
        <v>-13</v>
      </c>
      <c r="T433" s="23" t="e">
        <f t="shared" si="108"/>
        <v>#VALUE!</v>
      </c>
      <c r="U433" s="23"/>
      <c r="V433" s="1" t="s">
        <v>904</v>
      </c>
    </row>
    <row r="434" spans="1:22" x14ac:dyDescent="0.3">
      <c r="A434" s="6">
        <v>433</v>
      </c>
      <c r="B434" s="1" t="s">
        <v>21</v>
      </c>
      <c r="C434" s="1"/>
      <c r="D434" s="1" t="s">
        <v>907</v>
      </c>
      <c r="E434" s="1">
        <v>9700018937</v>
      </c>
      <c r="F434" s="7" t="s">
        <v>699</v>
      </c>
      <c r="G434" s="1" t="s">
        <v>781</v>
      </c>
      <c r="H434" s="1" t="s">
        <v>25</v>
      </c>
      <c r="I434" s="11" t="s">
        <v>903</v>
      </c>
      <c r="J434" s="11"/>
      <c r="K434" s="11"/>
      <c r="L434" s="11"/>
      <c r="M434" s="1" t="s">
        <v>26</v>
      </c>
      <c r="N434" s="6">
        <v>14</v>
      </c>
      <c r="O434" s="6">
        <v>14</v>
      </c>
      <c r="P434" s="12" t="e">
        <f t="shared" si="104"/>
        <v>#VALUE!</v>
      </c>
      <c r="Q434" s="12">
        <f t="shared" si="105"/>
        <v>13</v>
      </c>
      <c r="R434" s="24" t="e">
        <f t="shared" si="106"/>
        <v>#VALUE!</v>
      </c>
      <c r="S434" s="25">
        <f t="shared" si="107"/>
        <v>-13</v>
      </c>
      <c r="T434" s="23" t="e">
        <f t="shared" si="108"/>
        <v>#VALUE!</v>
      </c>
      <c r="U434" s="23"/>
      <c r="V434" s="1" t="s">
        <v>904</v>
      </c>
    </row>
    <row r="435" spans="1:22" x14ac:dyDescent="0.3">
      <c r="A435" s="6">
        <v>434</v>
      </c>
      <c r="B435" s="1" t="s">
        <v>21</v>
      </c>
      <c r="C435" s="1"/>
      <c r="D435" s="1" t="s">
        <v>908</v>
      </c>
      <c r="E435" s="1">
        <v>9700018937</v>
      </c>
      <c r="F435" s="7" t="s">
        <v>699</v>
      </c>
      <c r="G435" s="1" t="s">
        <v>909</v>
      </c>
      <c r="H435" s="1" t="s">
        <v>25</v>
      </c>
      <c r="I435" s="11" t="s">
        <v>903</v>
      </c>
      <c r="J435" s="11"/>
      <c r="K435" s="11"/>
      <c r="L435" s="11"/>
      <c r="M435" s="1" t="s">
        <v>26</v>
      </c>
      <c r="N435" s="6">
        <v>14</v>
      </c>
      <c r="O435" s="6">
        <v>14</v>
      </c>
      <c r="P435" s="12" t="e">
        <f t="shared" si="104"/>
        <v>#VALUE!</v>
      </c>
      <c r="Q435" s="12">
        <f t="shared" si="105"/>
        <v>13</v>
      </c>
      <c r="R435" s="24" t="e">
        <f t="shared" si="106"/>
        <v>#VALUE!</v>
      </c>
      <c r="S435" s="25">
        <f t="shared" si="107"/>
        <v>-13</v>
      </c>
      <c r="T435" s="23" t="e">
        <f t="shared" si="108"/>
        <v>#VALUE!</v>
      </c>
      <c r="U435" s="23"/>
      <c r="V435" s="1" t="s">
        <v>904</v>
      </c>
    </row>
    <row r="436" spans="1:22" x14ac:dyDescent="0.3">
      <c r="A436" s="6">
        <v>435</v>
      </c>
      <c r="B436" s="1" t="s">
        <v>62</v>
      </c>
      <c r="C436" s="1" t="s">
        <v>910</v>
      </c>
      <c r="D436" s="1" t="s">
        <v>911</v>
      </c>
      <c r="E436" s="1">
        <v>1510003505</v>
      </c>
      <c r="F436" s="7" t="s">
        <v>699</v>
      </c>
      <c r="G436" s="1" t="s">
        <v>65</v>
      </c>
      <c r="H436" s="1" t="s">
        <v>66</v>
      </c>
      <c r="I436" s="11" t="s">
        <v>912</v>
      </c>
      <c r="J436" s="11"/>
      <c r="K436" s="11"/>
      <c r="L436" s="11"/>
      <c r="M436" s="1" t="s">
        <v>32</v>
      </c>
      <c r="N436" s="6">
        <v>20</v>
      </c>
      <c r="O436" s="6">
        <v>15</v>
      </c>
      <c r="P436" s="12" t="e">
        <f t="shared" si="104"/>
        <v>#VALUE!</v>
      </c>
      <c r="Q436" s="12">
        <f t="shared" si="105"/>
        <v>14</v>
      </c>
      <c r="R436" s="24" t="e">
        <f t="shared" si="106"/>
        <v>#VALUE!</v>
      </c>
      <c r="S436" s="25">
        <f t="shared" si="107"/>
        <v>-14</v>
      </c>
      <c r="T436" s="23" t="e">
        <f t="shared" si="108"/>
        <v>#VALUE!</v>
      </c>
      <c r="U436" s="23"/>
      <c r="V436" s="1" t="s">
        <v>913</v>
      </c>
    </row>
    <row r="437" spans="1:22" x14ac:dyDescent="0.3">
      <c r="A437" s="6">
        <v>436</v>
      </c>
      <c r="B437" s="1" t="s">
        <v>62</v>
      </c>
      <c r="C437" s="1" t="s">
        <v>910</v>
      </c>
      <c r="D437" s="1" t="s">
        <v>914</v>
      </c>
      <c r="E437" s="1">
        <v>1510003505</v>
      </c>
      <c r="F437" s="7" t="s">
        <v>699</v>
      </c>
      <c r="G437" s="1" t="s">
        <v>65</v>
      </c>
      <c r="H437" s="1" t="s">
        <v>66</v>
      </c>
      <c r="I437" s="11" t="s">
        <v>912</v>
      </c>
      <c r="J437" s="11"/>
      <c r="K437" s="11"/>
      <c r="L437" s="11"/>
      <c r="M437" s="1" t="s">
        <v>32</v>
      </c>
      <c r="N437" s="6">
        <v>20</v>
      </c>
      <c r="O437" s="6">
        <v>15</v>
      </c>
      <c r="P437" s="12" t="e">
        <f t="shared" si="104"/>
        <v>#VALUE!</v>
      </c>
      <c r="Q437" s="12">
        <f t="shared" si="105"/>
        <v>14</v>
      </c>
      <c r="R437" s="24" t="e">
        <f t="shared" si="106"/>
        <v>#VALUE!</v>
      </c>
      <c r="S437" s="25">
        <f t="shared" si="107"/>
        <v>-14</v>
      </c>
      <c r="T437" s="23" t="e">
        <f t="shared" si="108"/>
        <v>#VALUE!</v>
      </c>
      <c r="U437" s="23"/>
      <c r="V437" s="1" t="s">
        <v>913</v>
      </c>
    </row>
    <row r="438" spans="1:22" x14ac:dyDescent="0.3">
      <c r="A438" s="6">
        <v>437</v>
      </c>
      <c r="B438" s="1" t="s">
        <v>62</v>
      </c>
      <c r="C438" s="1" t="s">
        <v>910</v>
      </c>
      <c r="D438" s="1" t="s">
        <v>915</v>
      </c>
      <c r="E438" s="1">
        <v>1510003505</v>
      </c>
      <c r="F438" s="7" t="s">
        <v>699</v>
      </c>
      <c r="G438" s="1" t="s">
        <v>65</v>
      </c>
      <c r="H438" s="1" t="s">
        <v>66</v>
      </c>
      <c r="I438" s="11" t="s">
        <v>912</v>
      </c>
      <c r="J438" s="11"/>
      <c r="K438" s="11"/>
      <c r="L438" s="11"/>
      <c r="M438" s="1" t="s">
        <v>32</v>
      </c>
      <c r="N438" s="6">
        <v>20</v>
      </c>
      <c r="O438" s="6">
        <v>15</v>
      </c>
      <c r="P438" s="12" t="e">
        <f t="shared" si="104"/>
        <v>#VALUE!</v>
      </c>
      <c r="Q438" s="12">
        <f t="shared" si="105"/>
        <v>14</v>
      </c>
      <c r="R438" s="24" t="e">
        <f t="shared" si="106"/>
        <v>#VALUE!</v>
      </c>
      <c r="S438" s="25">
        <f t="shared" si="107"/>
        <v>-14</v>
      </c>
      <c r="T438" s="23" t="e">
        <f t="shared" si="108"/>
        <v>#VALUE!</v>
      </c>
      <c r="U438" s="23"/>
      <c r="V438" s="1" t="s">
        <v>913</v>
      </c>
    </row>
    <row r="439" spans="1:22" x14ac:dyDescent="0.3">
      <c r="A439" s="6">
        <v>438</v>
      </c>
      <c r="B439" s="1" t="s">
        <v>62</v>
      </c>
      <c r="C439" s="1" t="s">
        <v>910</v>
      </c>
      <c r="D439" s="1" t="s">
        <v>916</v>
      </c>
      <c r="E439" s="1">
        <v>1510003505</v>
      </c>
      <c r="F439" s="7" t="s">
        <v>699</v>
      </c>
      <c r="G439" s="1" t="s">
        <v>65</v>
      </c>
      <c r="H439" s="1" t="s">
        <v>66</v>
      </c>
      <c r="I439" s="11" t="s">
        <v>912</v>
      </c>
      <c r="J439" s="11"/>
      <c r="K439" s="11"/>
      <c r="L439" s="11"/>
      <c r="M439" s="1" t="s">
        <v>32</v>
      </c>
      <c r="N439" s="6">
        <v>20</v>
      </c>
      <c r="O439" s="6">
        <v>15</v>
      </c>
      <c r="P439" s="12" t="e">
        <f t="shared" ref="P439:P502" si="109">I439+N439-1</f>
        <v>#VALUE!</v>
      </c>
      <c r="Q439" s="12">
        <f t="shared" ref="Q439:Q502" si="110">J439+O439-1</f>
        <v>14</v>
      </c>
      <c r="R439" s="24" t="e">
        <f t="shared" ref="R439:R502" si="111">J439-P439</f>
        <v>#VALUE!</v>
      </c>
      <c r="S439" s="25">
        <f t="shared" ref="S439:S502" si="112">L439-Q439</f>
        <v>-14</v>
      </c>
      <c r="T439" s="23" t="e">
        <f t="shared" ref="T439:T502" si="113">IF(R439&gt;0,"To Paid","No")</f>
        <v>#VALUE!</v>
      </c>
      <c r="U439" s="23"/>
      <c r="V439" s="1" t="s">
        <v>913</v>
      </c>
    </row>
    <row r="440" spans="1:22" x14ac:dyDescent="0.3">
      <c r="A440" s="6">
        <v>439</v>
      </c>
      <c r="B440" s="1" t="s">
        <v>62</v>
      </c>
      <c r="C440" s="1" t="s">
        <v>917</v>
      </c>
      <c r="D440" s="1" t="s">
        <v>918</v>
      </c>
      <c r="E440" s="1">
        <v>1510003506</v>
      </c>
      <c r="F440" s="7" t="s">
        <v>699</v>
      </c>
      <c r="G440" s="1" t="s">
        <v>65</v>
      </c>
      <c r="H440" s="1" t="s">
        <v>66</v>
      </c>
      <c r="I440" s="11" t="s">
        <v>912</v>
      </c>
      <c r="J440" s="11"/>
      <c r="K440" s="11"/>
      <c r="L440" s="11"/>
      <c r="M440" s="1" t="s">
        <v>32</v>
      </c>
      <c r="N440" s="6">
        <v>20</v>
      </c>
      <c r="O440" s="6">
        <v>15</v>
      </c>
      <c r="P440" s="12" t="e">
        <f t="shared" si="109"/>
        <v>#VALUE!</v>
      </c>
      <c r="Q440" s="12">
        <f t="shared" si="110"/>
        <v>14</v>
      </c>
      <c r="R440" s="24" t="e">
        <f t="shared" si="111"/>
        <v>#VALUE!</v>
      </c>
      <c r="S440" s="25">
        <f t="shared" si="112"/>
        <v>-14</v>
      </c>
      <c r="T440" s="23" t="e">
        <f t="shared" si="113"/>
        <v>#VALUE!</v>
      </c>
      <c r="U440" s="23"/>
      <c r="V440" s="1" t="s">
        <v>913</v>
      </c>
    </row>
    <row r="441" spans="1:22" x14ac:dyDescent="0.3">
      <c r="A441" s="6">
        <v>440</v>
      </c>
      <c r="B441" s="1" t="s">
        <v>62</v>
      </c>
      <c r="C441" s="1" t="s">
        <v>917</v>
      </c>
      <c r="D441" s="1" t="s">
        <v>919</v>
      </c>
      <c r="E441" s="1">
        <v>1510003506</v>
      </c>
      <c r="F441" s="7" t="s">
        <v>699</v>
      </c>
      <c r="G441" s="1" t="s">
        <v>65</v>
      </c>
      <c r="H441" s="1" t="s">
        <v>66</v>
      </c>
      <c r="I441" s="11" t="s">
        <v>912</v>
      </c>
      <c r="J441" s="11"/>
      <c r="K441" s="11"/>
      <c r="L441" s="11"/>
      <c r="M441" s="1" t="s">
        <v>32</v>
      </c>
      <c r="N441" s="6">
        <v>20</v>
      </c>
      <c r="O441" s="6">
        <v>15</v>
      </c>
      <c r="P441" s="12" t="e">
        <f t="shared" si="109"/>
        <v>#VALUE!</v>
      </c>
      <c r="Q441" s="12">
        <f t="shared" si="110"/>
        <v>14</v>
      </c>
      <c r="R441" s="24" t="e">
        <f t="shared" si="111"/>
        <v>#VALUE!</v>
      </c>
      <c r="S441" s="25">
        <f t="shared" si="112"/>
        <v>-14</v>
      </c>
      <c r="T441" s="23" t="e">
        <f t="shared" si="113"/>
        <v>#VALUE!</v>
      </c>
      <c r="U441" s="23"/>
      <c r="V441" s="1" t="s">
        <v>913</v>
      </c>
    </row>
    <row r="442" spans="1:22" x14ac:dyDescent="0.3">
      <c r="A442" s="6">
        <v>441</v>
      </c>
      <c r="B442" s="1" t="s">
        <v>62</v>
      </c>
      <c r="C442" s="1" t="s">
        <v>917</v>
      </c>
      <c r="D442" s="1" t="s">
        <v>920</v>
      </c>
      <c r="E442" s="1">
        <v>1510003506</v>
      </c>
      <c r="F442" s="7" t="s">
        <v>699</v>
      </c>
      <c r="G442" s="1" t="s">
        <v>65</v>
      </c>
      <c r="H442" s="1" t="s">
        <v>66</v>
      </c>
      <c r="I442" s="11" t="s">
        <v>912</v>
      </c>
      <c r="J442" s="11"/>
      <c r="K442" s="11"/>
      <c r="L442" s="11"/>
      <c r="M442" s="1" t="s">
        <v>32</v>
      </c>
      <c r="N442" s="6">
        <v>20</v>
      </c>
      <c r="O442" s="6">
        <v>15</v>
      </c>
      <c r="P442" s="12" t="e">
        <f t="shared" si="109"/>
        <v>#VALUE!</v>
      </c>
      <c r="Q442" s="12">
        <f t="shared" si="110"/>
        <v>14</v>
      </c>
      <c r="R442" s="24" t="e">
        <f t="shared" si="111"/>
        <v>#VALUE!</v>
      </c>
      <c r="S442" s="25">
        <f t="shared" si="112"/>
        <v>-14</v>
      </c>
      <c r="T442" s="23" t="e">
        <f t="shared" si="113"/>
        <v>#VALUE!</v>
      </c>
      <c r="U442" s="23"/>
      <c r="V442" s="1" t="s">
        <v>913</v>
      </c>
    </row>
    <row r="443" spans="1:22" x14ac:dyDescent="0.3">
      <c r="A443" s="6">
        <v>442</v>
      </c>
      <c r="B443" s="1" t="s">
        <v>62</v>
      </c>
      <c r="C443" s="1" t="s">
        <v>917</v>
      </c>
      <c r="D443" s="1" t="s">
        <v>921</v>
      </c>
      <c r="E443" s="1">
        <v>1510003506</v>
      </c>
      <c r="F443" s="7" t="s">
        <v>699</v>
      </c>
      <c r="G443" s="1" t="s">
        <v>65</v>
      </c>
      <c r="H443" s="1" t="s">
        <v>66</v>
      </c>
      <c r="I443" s="11" t="s">
        <v>912</v>
      </c>
      <c r="J443" s="11"/>
      <c r="K443" s="11"/>
      <c r="L443" s="11"/>
      <c r="M443" s="1" t="s">
        <v>32</v>
      </c>
      <c r="N443" s="6">
        <v>20</v>
      </c>
      <c r="O443" s="6">
        <v>15</v>
      </c>
      <c r="P443" s="12" t="e">
        <f t="shared" si="109"/>
        <v>#VALUE!</v>
      </c>
      <c r="Q443" s="12">
        <f t="shared" si="110"/>
        <v>14</v>
      </c>
      <c r="R443" s="24" t="e">
        <f t="shared" si="111"/>
        <v>#VALUE!</v>
      </c>
      <c r="S443" s="25">
        <f t="shared" si="112"/>
        <v>-14</v>
      </c>
      <c r="T443" s="23" t="e">
        <f t="shared" si="113"/>
        <v>#VALUE!</v>
      </c>
      <c r="U443" s="23"/>
      <c r="V443" s="1" t="s">
        <v>913</v>
      </c>
    </row>
    <row r="444" spans="1:22" x14ac:dyDescent="0.3">
      <c r="A444" s="6">
        <v>443</v>
      </c>
      <c r="B444" s="1" t="s">
        <v>28</v>
      </c>
      <c r="C444" s="1" t="s">
        <v>922</v>
      </c>
      <c r="D444" s="1" t="s">
        <v>923</v>
      </c>
      <c r="E444" s="1">
        <v>1510003528</v>
      </c>
      <c r="F444" s="7" t="s">
        <v>699</v>
      </c>
      <c r="G444" s="1" t="s">
        <v>704</v>
      </c>
      <c r="H444" s="1" t="s">
        <v>705</v>
      </c>
      <c r="I444" s="11" t="s">
        <v>924</v>
      </c>
      <c r="J444" s="11"/>
      <c r="K444" s="11"/>
      <c r="L444" s="11"/>
      <c r="M444" s="1" t="s">
        <v>32</v>
      </c>
      <c r="N444" s="6">
        <v>7</v>
      </c>
      <c r="O444" s="6">
        <v>8</v>
      </c>
      <c r="P444" s="12" t="e">
        <f t="shared" si="109"/>
        <v>#VALUE!</v>
      </c>
      <c r="Q444" s="12">
        <f t="shared" si="110"/>
        <v>7</v>
      </c>
      <c r="R444" s="24" t="e">
        <f t="shared" si="111"/>
        <v>#VALUE!</v>
      </c>
      <c r="S444" s="25">
        <f t="shared" si="112"/>
        <v>-7</v>
      </c>
      <c r="T444" s="23" t="e">
        <f t="shared" si="113"/>
        <v>#VALUE!</v>
      </c>
      <c r="U444" s="23"/>
      <c r="V444" s="1"/>
    </row>
    <row r="445" spans="1:22" x14ac:dyDescent="0.3">
      <c r="A445" s="6">
        <v>444</v>
      </c>
      <c r="B445" s="1" t="s">
        <v>28</v>
      </c>
      <c r="C445" s="1" t="s">
        <v>925</v>
      </c>
      <c r="D445" s="1" t="s">
        <v>926</v>
      </c>
      <c r="E445" s="1">
        <v>1510003525</v>
      </c>
      <c r="F445" s="7" t="s">
        <v>699</v>
      </c>
      <c r="G445" s="1" t="s">
        <v>927</v>
      </c>
      <c r="H445" s="1" t="s">
        <v>705</v>
      </c>
      <c r="I445" s="11" t="s">
        <v>928</v>
      </c>
      <c r="J445" s="11"/>
      <c r="K445" s="11"/>
      <c r="L445" s="11"/>
      <c r="M445" s="1" t="s">
        <v>32</v>
      </c>
      <c r="N445" s="6">
        <v>7</v>
      </c>
      <c r="O445" s="6">
        <v>8</v>
      </c>
      <c r="P445" s="12" t="e">
        <f t="shared" si="109"/>
        <v>#VALUE!</v>
      </c>
      <c r="Q445" s="12">
        <f t="shared" si="110"/>
        <v>7</v>
      </c>
      <c r="R445" s="24" t="e">
        <f t="shared" si="111"/>
        <v>#VALUE!</v>
      </c>
      <c r="S445" s="25">
        <f t="shared" si="112"/>
        <v>-7</v>
      </c>
      <c r="T445" s="23" t="e">
        <f t="shared" si="113"/>
        <v>#VALUE!</v>
      </c>
      <c r="U445" s="23"/>
      <c r="V445" s="1"/>
    </row>
    <row r="446" spans="1:22" x14ac:dyDescent="0.3">
      <c r="A446" s="6">
        <v>445</v>
      </c>
      <c r="B446" s="1" t="s">
        <v>28</v>
      </c>
      <c r="C446" s="1" t="s">
        <v>925</v>
      </c>
      <c r="D446" s="1" t="s">
        <v>929</v>
      </c>
      <c r="E446" s="1">
        <v>1510003525</v>
      </c>
      <c r="F446" s="7" t="s">
        <v>699</v>
      </c>
      <c r="G446" s="1" t="s">
        <v>927</v>
      </c>
      <c r="H446" s="1" t="s">
        <v>705</v>
      </c>
      <c r="I446" s="11" t="s">
        <v>928</v>
      </c>
      <c r="J446" s="11"/>
      <c r="K446" s="11"/>
      <c r="L446" s="11"/>
      <c r="M446" s="1" t="s">
        <v>32</v>
      </c>
      <c r="N446" s="6">
        <v>7</v>
      </c>
      <c r="O446" s="6">
        <v>8</v>
      </c>
      <c r="P446" s="12" t="e">
        <f t="shared" si="109"/>
        <v>#VALUE!</v>
      </c>
      <c r="Q446" s="12">
        <f t="shared" si="110"/>
        <v>7</v>
      </c>
      <c r="R446" s="24" t="e">
        <f t="shared" si="111"/>
        <v>#VALUE!</v>
      </c>
      <c r="S446" s="25">
        <f t="shared" si="112"/>
        <v>-7</v>
      </c>
      <c r="T446" s="23" t="e">
        <f t="shared" si="113"/>
        <v>#VALUE!</v>
      </c>
      <c r="U446" s="23"/>
      <c r="V446" s="1"/>
    </row>
    <row r="447" spans="1:22" x14ac:dyDescent="0.3">
      <c r="A447" s="6">
        <v>446</v>
      </c>
      <c r="B447" s="1" t="s">
        <v>21</v>
      </c>
      <c r="C447" s="1"/>
      <c r="D447" s="1" t="s">
        <v>930</v>
      </c>
      <c r="E447" s="1">
        <v>9700019003</v>
      </c>
      <c r="F447" s="7" t="s">
        <v>699</v>
      </c>
      <c r="G447" s="1" t="s">
        <v>361</v>
      </c>
      <c r="H447" s="1" t="s">
        <v>25</v>
      </c>
      <c r="I447" s="11" t="s">
        <v>895</v>
      </c>
      <c r="J447" s="11"/>
      <c r="K447" s="11"/>
      <c r="L447" s="11"/>
      <c r="M447" s="1" t="s">
        <v>26</v>
      </c>
      <c r="N447" s="6"/>
      <c r="O447" s="6"/>
      <c r="P447" s="12" t="e">
        <f t="shared" si="109"/>
        <v>#VALUE!</v>
      </c>
      <c r="Q447" s="12">
        <f t="shared" si="110"/>
        <v>-1</v>
      </c>
      <c r="R447" s="24" t="e">
        <f t="shared" si="111"/>
        <v>#VALUE!</v>
      </c>
      <c r="S447" s="25">
        <f t="shared" si="112"/>
        <v>1</v>
      </c>
      <c r="T447" s="23" t="e">
        <f t="shared" si="113"/>
        <v>#VALUE!</v>
      </c>
      <c r="U447" s="23"/>
      <c r="V447" s="1"/>
    </row>
    <row r="448" spans="1:22" x14ac:dyDescent="0.3">
      <c r="A448" s="6">
        <v>447</v>
      </c>
      <c r="B448" s="1" t="s">
        <v>21</v>
      </c>
      <c r="C448" s="1"/>
      <c r="D448" s="1" t="s">
        <v>931</v>
      </c>
      <c r="E448" s="1">
        <v>9700019003</v>
      </c>
      <c r="F448" s="7" t="s">
        <v>699</v>
      </c>
      <c r="G448" s="1" t="s">
        <v>361</v>
      </c>
      <c r="H448" s="1" t="s">
        <v>25</v>
      </c>
      <c r="I448" s="11" t="s">
        <v>895</v>
      </c>
      <c r="J448" s="11"/>
      <c r="K448" s="11"/>
      <c r="L448" s="11"/>
      <c r="M448" s="1" t="s">
        <v>26</v>
      </c>
      <c r="N448" s="6"/>
      <c r="O448" s="6"/>
      <c r="P448" s="12" t="e">
        <f t="shared" si="109"/>
        <v>#VALUE!</v>
      </c>
      <c r="Q448" s="12">
        <f t="shared" si="110"/>
        <v>-1</v>
      </c>
      <c r="R448" s="24" t="e">
        <f t="shared" si="111"/>
        <v>#VALUE!</v>
      </c>
      <c r="S448" s="25">
        <f t="shared" si="112"/>
        <v>1</v>
      </c>
      <c r="T448" s="23" t="e">
        <f t="shared" si="113"/>
        <v>#VALUE!</v>
      </c>
      <c r="U448" s="23"/>
      <c r="V448" s="1"/>
    </row>
    <row r="449" spans="1:22" x14ac:dyDescent="0.3">
      <c r="A449" s="6">
        <v>448</v>
      </c>
      <c r="B449" s="1" t="s">
        <v>21</v>
      </c>
      <c r="C449" s="1"/>
      <c r="D449" s="1" t="s">
        <v>932</v>
      </c>
      <c r="E449" s="1">
        <v>9700019003</v>
      </c>
      <c r="F449" s="7" t="s">
        <v>699</v>
      </c>
      <c r="G449" s="1" t="s">
        <v>361</v>
      </c>
      <c r="H449" s="1" t="s">
        <v>25</v>
      </c>
      <c r="I449" s="11" t="s">
        <v>895</v>
      </c>
      <c r="J449" s="11"/>
      <c r="K449" s="11"/>
      <c r="L449" s="11"/>
      <c r="M449" s="1" t="s">
        <v>26</v>
      </c>
      <c r="N449" s="6"/>
      <c r="O449" s="6"/>
      <c r="P449" s="12" t="e">
        <f t="shared" si="109"/>
        <v>#VALUE!</v>
      </c>
      <c r="Q449" s="12">
        <f t="shared" si="110"/>
        <v>-1</v>
      </c>
      <c r="R449" s="24" t="e">
        <f t="shared" si="111"/>
        <v>#VALUE!</v>
      </c>
      <c r="S449" s="25">
        <f t="shared" si="112"/>
        <v>1</v>
      </c>
      <c r="T449" s="23" t="e">
        <f t="shared" si="113"/>
        <v>#VALUE!</v>
      </c>
      <c r="U449" s="23"/>
      <c r="V449" s="1"/>
    </row>
    <row r="450" spans="1:22" x14ac:dyDescent="0.3">
      <c r="A450" s="6">
        <v>449</v>
      </c>
      <c r="B450" s="1" t="s">
        <v>21</v>
      </c>
      <c r="C450" s="1"/>
      <c r="D450" s="1" t="s">
        <v>933</v>
      </c>
      <c r="E450" s="1">
        <v>9700019003</v>
      </c>
      <c r="F450" s="7" t="s">
        <v>699</v>
      </c>
      <c r="G450" s="1" t="s">
        <v>361</v>
      </c>
      <c r="H450" s="1" t="s">
        <v>25</v>
      </c>
      <c r="I450" s="11" t="s">
        <v>895</v>
      </c>
      <c r="J450" s="11"/>
      <c r="K450" s="11"/>
      <c r="L450" s="11"/>
      <c r="M450" s="1" t="s">
        <v>26</v>
      </c>
      <c r="N450" s="6"/>
      <c r="O450" s="6"/>
      <c r="P450" s="12" t="e">
        <f t="shared" si="109"/>
        <v>#VALUE!</v>
      </c>
      <c r="Q450" s="12">
        <f t="shared" si="110"/>
        <v>-1</v>
      </c>
      <c r="R450" s="24" t="e">
        <f t="shared" si="111"/>
        <v>#VALUE!</v>
      </c>
      <c r="S450" s="25">
        <f t="shared" si="112"/>
        <v>1</v>
      </c>
      <c r="T450" s="23" t="e">
        <f t="shared" si="113"/>
        <v>#VALUE!</v>
      </c>
      <c r="U450" s="23"/>
      <c r="V450" s="1"/>
    </row>
    <row r="451" spans="1:22" x14ac:dyDescent="0.3">
      <c r="A451" s="6">
        <v>450</v>
      </c>
      <c r="B451" s="1" t="s">
        <v>21</v>
      </c>
      <c r="C451" s="1"/>
      <c r="D451" s="1" t="s">
        <v>934</v>
      </c>
      <c r="E451" s="1">
        <v>9700019003</v>
      </c>
      <c r="F451" s="7" t="s">
        <v>699</v>
      </c>
      <c r="G451" s="1" t="s">
        <v>361</v>
      </c>
      <c r="H451" s="1" t="s">
        <v>25</v>
      </c>
      <c r="I451" s="11" t="s">
        <v>895</v>
      </c>
      <c r="J451" s="11"/>
      <c r="K451" s="11"/>
      <c r="L451" s="11"/>
      <c r="M451" s="1" t="s">
        <v>26</v>
      </c>
      <c r="N451" s="6"/>
      <c r="O451" s="6"/>
      <c r="P451" s="12" t="e">
        <f t="shared" si="109"/>
        <v>#VALUE!</v>
      </c>
      <c r="Q451" s="12">
        <f t="shared" si="110"/>
        <v>-1</v>
      </c>
      <c r="R451" s="24" t="e">
        <f t="shared" si="111"/>
        <v>#VALUE!</v>
      </c>
      <c r="S451" s="25">
        <f t="shared" si="112"/>
        <v>1</v>
      </c>
      <c r="T451" s="23" t="e">
        <f t="shared" si="113"/>
        <v>#VALUE!</v>
      </c>
      <c r="U451" s="23"/>
      <c r="V451" s="1"/>
    </row>
    <row r="452" spans="1:22" x14ac:dyDescent="0.3">
      <c r="A452" s="6">
        <v>451</v>
      </c>
      <c r="B452" s="1" t="s">
        <v>21</v>
      </c>
      <c r="C452" s="1"/>
      <c r="D452" s="1" t="s">
        <v>935</v>
      </c>
      <c r="E452" s="1">
        <v>9700019003</v>
      </c>
      <c r="F452" s="7" t="s">
        <v>699</v>
      </c>
      <c r="G452" s="1" t="s">
        <v>936</v>
      </c>
      <c r="H452" s="1" t="s">
        <v>25</v>
      </c>
      <c r="I452" s="11" t="s">
        <v>895</v>
      </c>
      <c r="J452" s="11"/>
      <c r="K452" s="11"/>
      <c r="L452" s="11"/>
      <c r="M452" s="1" t="s">
        <v>26</v>
      </c>
      <c r="N452" s="6"/>
      <c r="O452" s="6"/>
      <c r="P452" s="12" t="e">
        <f t="shared" si="109"/>
        <v>#VALUE!</v>
      </c>
      <c r="Q452" s="12">
        <f t="shared" si="110"/>
        <v>-1</v>
      </c>
      <c r="R452" s="24" t="e">
        <f t="shared" si="111"/>
        <v>#VALUE!</v>
      </c>
      <c r="S452" s="25">
        <f t="shared" si="112"/>
        <v>1</v>
      </c>
      <c r="T452" s="23" t="e">
        <f t="shared" si="113"/>
        <v>#VALUE!</v>
      </c>
      <c r="U452" s="23"/>
      <c r="V452" s="1"/>
    </row>
    <row r="453" spans="1:22" x14ac:dyDescent="0.3">
      <c r="A453" s="6">
        <v>452</v>
      </c>
      <c r="B453" s="1" t="s">
        <v>21</v>
      </c>
      <c r="C453" s="1"/>
      <c r="D453" s="1" t="s">
        <v>937</v>
      </c>
      <c r="E453" s="1">
        <v>9700019003</v>
      </c>
      <c r="F453" s="7" t="s">
        <v>699</v>
      </c>
      <c r="G453" s="1" t="s">
        <v>936</v>
      </c>
      <c r="H453" s="1" t="s">
        <v>25</v>
      </c>
      <c r="I453" s="11" t="s">
        <v>895</v>
      </c>
      <c r="J453" s="11"/>
      <c r="K453" s="11"/>
      <c r="L453" s="11"/>
      <c r="M453" s="1" t="s">
        <v>26</v>
      </c>
      <c r="N453" s="6"/>
      <c r="O453" s="6"/>
      <c r="P453" s="12" t="e">
        <f t="shared" si="109"/>
        <v>#VALUE!</v>
      </c>
      <c r="Q453" s="12">
        <f t="shared" si="110"/>
        <v>-1</v>
      </c>
      <c r="R453" s="24" t="e">
        <f t="shared" si="111"/>
        <v>#VALUE!</v>
      </c>
      <c r="S453" s="25">
        <f t="shared" si="112"/>
        <v>1</v>
      </c>
      <c r="T453" s="23" t="e">
        <f t="shared" si="113"/>
        <v>#VALUE!</v>
      </c>
      <c r="U453" s="23"/>
      <c r="V453" s="1"/>
    </row>
    <row r="454" spans="1:22" x14ac:dyDescent="0.3">
      <c r="A454" s="6">
        <v>453</v>
      </c>
      <c r="B454" s="1" t="s">
        <v>21</v>
      </c>
      <c r="C454" s="1"/>
      <c r="D454" s="1" t="s">
        <v>938</v>
      </c>
      <c r="E454" s="1">
        <v>9700019003</v>
      </c>
      <c r="F454" s="7" t="s">
        <v>699</v>
      </c>
      <c r="G454" s="1" t="s">
        <v>936</v>
      </c>
      <c r="H454" s="1" t="s">
        <v>25</v>
      </c>
      <c r="I454" s="11" t="s">
        <v>895</v>
      </c>
      <c r="J454" s="11"/>
      <c r="K454" s="11"/>
      <c r="L454" s="11"/>
      <c r="M454" s="1" t="s">
        <v>26</v>
      </c>
      <c r="N454" s="6"/>
      <c r="O454" s="6"/>
      <c r="P454" s="12" t="e">
        <f t="shared" si="109"/>
        <v>#VALUE!</v>
      </c>
      <c r="Q454" s="12">
        <f t="shared" si="110"/>
        <v>-1</v>
      </c>
      <c r="R454" s="24" t="e">
        <f t="shared" si="111"/>
        <v>#VALUE!</v>
      </c>
      <c r="S454" s="25">
        <f t="shared" si="112"/>
        <v>1</v>
      </c>
      <c r="T454" s="23" t="e">
        <f t="shared" si="113"/>
        <v>#VALUE!</v>
      </c>
      <c r="U454" s="23"/>
      <c r="V454" s="1"/>
    </row>
    <row r="455" spans="1:22" x14ac:dyDescent="0.3">
      <c r="A455" s="6">
        <v>454</v>
      </c>
      <c r="B455" s="1" t="s">
        <v>21</v>
      </c>
      <c r="C455" s="1"/>
      <c r="D455" s="1" t="s">
        <v>939</v>
      </c>
      <c r="E455" s="1">
        <v>9700019023</v>
      </c>
      <c r="F455" s="7" t="s">
        <v>699</v>
      </c>
      <c r="G455" s="1" t="s">
        <v>788</v>
      </c>
      <c r="H455" s="1" t="s">
        <v>25</v>
      </c>
      <c r="I455" s="11" t="s">
        <v>895</v>
      </c>
      <c r="J455" s="11"/>
      <c r="K455" s="11"/>
      <c r="L455" s="11"/>
      <c r="M455" s="1" t="s">
        <v>26</v>
      </c>
      <c r="N455" s="6"/>
      <c r="O455" s="6"/>
      <c r="P455" s="12" t="e">
        <f t="shared" si="109"/>
        <v>#VALUE!</v>
      </c>
      <c r="Q455" s="12">
        <f t="shared" si="110"/>
        <v>-1</v>
      </c>
      <c r="R455" s="24" t="e">
        <f t="shared" si="111"/>
        <v>#VALUE!</v>
      </c>
      <c r="S455" s="25">
        <f t="shared" si="112"/>
        <v>1</v>
      </c>
      <c r="T455" s="23" t="e">
        <f t="shared" si="113"/>
        <v>#VALUE!</v>
      </c>
      <c r="U455" s="23"/>
      <c r="V455" s="1"/>
    </row>
    <row r="456" spans="1:22" x14ac:dyDescent="0.3">
      <c r="A456" s="6">
        <v>455</v>
      </c>
      <c r="B456" s="1" t="s">
        <v>21</v>
      </c>
      <c r="C456" s="1"/>
      <c r="D456" s="1" t="s">
        <v>940</v>
      </c>
      <c r="E456" s="1">
        <v>9700019023</v>
      </c>
      <c r="F456" s="7" t="s">
        <v>699</v>
      </c>
      <c r="G456" s="1" t="s">
        <v>941</v>
      </c>
      <c r="H456" s="1" t="s">
        <v>25</v>
      </c>
      <c r="I456" s="11" t="s">
        <v>895</v>
      </c>
      <c r="J456" s="11"/>
      <c r="K456" s="11"/>
      <c r="L456" s="11"/>
      <c r="M456" s="1" t="s">
        <v>26</v>
      </c>
      <c r="N456" s="6"/>
      <c r="O456" s="6"/>
      <c r="P456" s="12" t="e">
        <f t="shared" si="109"/>
        <v>#VALUE!</v>
      </c>
      <c r="Q456" s="12">
        <f t="shared" si="110"/>
        <v>-1</v>
      </c>
      <c r="R456" s="24" t="e">
        <f t="shared" si="111"/>
        <v>#VALUE!</v>
      </c>
      <c r="S456" s="25">
        <f t="shared" si="112"/>
        <v>1</v>
      </c>
      <c r="T456" s="23" t="e">
        <f t="shared" si="113"/>
        <v>#VALUE!</v>
      </c>
      <c r="U456" s="23"/>
      <c r="V456" s="1"/>
    </row>
    <row r="457" spans="1:22" x14ac:dyDescent="0.3">
      <c r="A457" s="6">
        <v>456</v>
      </c>
      <c r="B457" s="1" t="s">
        <v>21</v>
      </c>
      <c r="C457" s="1"/>
      <c r="D457" s="1" t="s">
        <v>942</v>
      </c>
      <c r="E457" s="1">
        <v>9700019023</v>
      </c>
      <c r="F457" s="7" t="s">
        <v>699</v>
      </c>
      <c r="G457" s="1" t="s">
        <v>943</v>
      </c>
      <c r="H457" s="1" t="s">
        <v>25</v>
      </c>
      <c r="I457" s="11" t="s">
        <v>895</v>
      </c>
      <c r="J457" s="11"/>
      <c r="K457" s="11"/>
      <c r="L457" s="11"/>
      <c r="M457" s="1" t="s">
        <v>26</v>
      </c>
      <c r="N457" s="6"/>
      <c r="O457" s="6"/>
      <c r="P457" s="12" t="e">
        <f t="shared" si="109"/>
        <v>#VALUE!</v>
      </c>
      <c r="Q457" s="12">
        <f t="shared" si="110"/>
        <v>-1</v>
      </c>
      <c r="R457" s="24" t="e">
        <f t="shared" si="111"/>
        <v>#VALUE!</v>
      </c>
      <c r="S457" s="25">
        <f t="shared" si="112"/>
        <v>1</v>
      </c>
      <c r="T457" s="23" t="e">
        <f t="shared" si="113"/>
        <v>#VALUE!</v>
      </c>
      <c r="U457" s="23"/>
      <c r="V457" s="1"/>
    </row>
    <row r="458" spans="1:22" x14ac:dyDescent="0.3">
      <c r="A458" s="6">
        <v>457</v>
      </c>
      <c r="B458" s="1" t="s">
        <v>21</v>
      </c>
      <c r="C458" s="1"/>
      <c r="D458" s="1" t="s">
        <v>944</v>
      </c>
      <c r="E458" s="1">
        <v>9700019023</v>
      </c>
      <c r="F458" s="7" t="s">
        <v>699</v>
      </c>
      <c r="G458" s="1" t="s">
        <v>788</v>
      </c>
      <c r="H458" s="1" t="s">
        <v>25</v>
      </c>
      <c r="I458" s="11" t="s">
        <v>895</v>
      </c>
      <c r="J458" s="11"/>
      <c r="K458" s="11"/>
      <c r="L458" s="11"/>
      <c r="M458" s="1" t="s">
        <v>26</v>
      </c>
      <c r="N458" s="6"/>
      <c r="O458" s="6"/>
      <c r="P458" s="12" t="e">
        <f t="shared" si="109"/>
        <v>#VALUE!</v>
      </c>
      <c r="Q458" s="12">
        <f t="shared" si="110"/>
        <v>-1</v>
      </c>
      <c r="R458" s="24" t="e">
        <f t="shared" si="111"/>
        <v>#VALUE!</v>
      </c>
      <c r="S458" s="25">
        <f t="shared" si="112"/>
        <v>1</v>
      </c>
      <c r="T458" s="23" t="e">
        <f t="shared" si="113"/>
        <v>#VALUE!</v>
      </c>
      <c r="U458" s="23"/>
      <c r="V458" s="1"/>
    </row>
    <row r="459" spans="1:22" x14ac:dyDescent="0.3">
      <c r="A459" s="6">
        <v>458</v>
      </c>
      <c r="B459" s="1" t="s">
        <v>21</v>
      </c>
      <c r="C459" s="1"/>
      <c r="D459" s="1" t="s">
        <v>945</v>
      </c>
      <c r="E459" s="1">
        <v>9700019023</v>
      </c>
      <c r="F459" s="7" t="s">
        <v>699</v>
      </c>
      <c r="G459" s="1" t="s">
        <v>946</v>
      </c>
      <c r="H459" s="1" t="s">
        <v>25</v>
      </c>
      <c r="I459" s="11" t="s">
        <v>895</v>
      </c>
      <c r="J459" s="11"/>
      <c r="K459" s="11"/>
      <c r="L459" s="11"/>
      <c r="M459" s="1" t="s">
        <v>26</v>
      </c>
      <c r="N459" s="6"/>
      <c r="O459" s="6"/>
      <c r="P459" s="12" t="e">
        <f t="shared" si="109"/>
        <v>#VALUE!</v>
      </c>
      <c r="Q459" s="12">
        <f t="shared" si="110"/>
        <v>-1</v>
      </c>
      <c r="R459" s="24" t="e">
        <f t="shared" si="111"/>
        <v>#VALUE!</v>
      </c>
      <c r="S459" s="25">
        <f t="shared" si="112"/>
        <v>1</v>
      </c>
      <c r="T459" s="23" t="e">
        <f t="shared" si="113"/>
        <v>#VALUE!</v>
      </c>
      <c r="U459" s="23"/>
      <c r="V459" s="1"/>
    </row>
    <row r="460" spans="1:22" x14ac:dyDescent="0.3">
      <c r="A460" s="6">
        <v>459</v>
      </c>
      <c r="B460" s="1" t="s">
        <v>115</v>
      </c>
      <c r="C460" s="1" t="s">
        <v>947</v>
      </c>
      <c r="D460" s="1" t="s">
        <v>948</v>
      </c>
      <c r="E460" s="1">
        <v>1510003678</v>
      </c>
      <c r="F460" s="7" t="s">
        <v>699</v>
      </c>
      <c r="G460" s="1" t="s">
        <v>949</v>
      </c>
      <c r="H460" s="1" t="s">
        <v>25</v>
      </c>
      <c r="I460" s="11" t="s">
        <v>924</v>
      </c>
      <c r="J460" s="11"/>
      <c r="K460" s="11"/>
      <c r="L460" s="11"/>
      <c r="M460" s="1" t="s">
        <v>32</v>
      </c>
      <c r="N460" s="6">
        <v>20</v>
      </c>
      <c r="O460" s="6">
        <v>15</v>
      </c>
      <c r="P460" s="12" t="e">
        <f t="shared" si="109"/>
        <v>#VALUE!</v>
      </c>
      <c r="Q460" s="12">
        <f t="shared" si="110"/>
        <v>14</v>
      </c>
      <c r="R460" s="24" t="e">
        <f t="shared" si="111"/>
        <v>#VALUE!</v>
      </c>
      <c r="S460" s="25">
        <f t="shared" si="112"/>
        <v>-14</v>
      </c>
      <c r="T460" s="23" t="e">
        <f t="shared" si="113"/>
        <v>#VALUE!</v>
      </c>
      <c r="U460" s="23"/>
      <c r="V460" s="1"/>
    </row>
    <row r="461" spans="1:22" x14ac:dyDescent="0.3">
      <c r="A461" s="6">
        <v>460</v>
      </c>
      <c r="B461" s="1" t="s">
        <v>117</v>
      </c>
      <c r="C461" s="1" t="s">
        <v>950</v>
      </c>
      <c r="D461" s="1" t="s">
        <v>951</v>
      </c>
      <c r="E461" s="1">
        <v>1510003676</v>
      </c>
      <c r="F461" s="7" t="s">
        <v>699</v>
      </c>
      <c r="G461" s="1" t="s">
        <v>952</v>
      </c>
      <c r="H461" s="1" t="s">
        <v>25</v>
      </c>
      <c r="I461" s="11" t="s">
        <v>924</v>
      </c>
      <c r="J461" s="11"/>
      <c r="K461" s="11"/>
      <c r="L461" s="11"/>
      <c r="M461" s="1" t="s">
        <v>32</v>
      </c>
      <c r="N461" s="6">
        <v>20</v>
      </c>
      <c r="O461" s="6">
        <v>15</v>
      </c>
      <c r="P461" s="12" t="e">
        <f t="shared" si="109"/>
        <v>#VALUE!</v>
      </c>
      <c r="Q461" s="12">
        <f t="shared" si="110"/>
        <v>14</v>
      </c>
      <c r="R461" s="24" t="e">
        <f t="shared" si="111"/>
        <v>#VALUE!</v>
      </c>
      <c r="S461" s="25">
        <f t="shared" si="112"/>
        <v>-14</v>
      </c>
      <c r="T461" s="23" t="e">
        <f t="shared" si="113"/>
        <v>#VALUE!</v>
      </c>
      <c r="U461" s="23"/>
      <c r="V461" s="1"/>
    </row>
    <row r="462" spans="1:22" x14ac:dyDescent="0.3">
      <c r="A462" s="6">
        <v>461</v>
      </c>
      <c r="B462" s="1" t="s">
        <v>21</v>
      </c>
      <c r="C462" s="1" t="s">
        <v>953</v>
      </c>
      <c r="D462" s="1" t="s">
        <v>954</v>
      </c>
      <c r="E462" s="1">
        <v>9700019002</v>
      </c>
      <c r="F462" s="7" t="s">
        <v>699</v>
      </c>
      <c r="G462" s="1" t="s">
        <v>641</v>
      </c>
      <c r="H462" s="1" t="s">
        <v>25</v>
      </c>
      <c r="I462" s="11" t="s">
        <v>955</v>
      </c>
      <c r="J462" s="11"/>
      <c r="K462" s="11"/>
      <c r="L462" s="11"/>
      <c r="M462" s="1" t="s">
        <v>26</v>
      </c>
      <c r="N462" s="6"/>
      <c r="O462" s="6"/>
      <c r="P462" s="12" t="e">
        <f t="shared" si="109"/>
        <v>#VALUE!</v>
      </c>
      <c r="Q462" s="12">
        <f t="shared" si="110"/>
        <v>-1</v>
      </c>
      <c r="R462" s="24" t="e">
        <f t="shared" si="111"/>
        <v>#VALUE!</v>
      </c>
      <c r="S462" s="25">
        <f t="shared" si="112"/>
        <v>1</v>
      </c>
      <c r="T462" s="23" t="e">
        <f t="shared" si="113"/>
        <v>#VALUE!</v>
      </c>
      <c r="U462" s="23"/>
      <c r="V462" s="1"/>
    </row>
    <row r="463" spans="1:22" x14ac:dyDescent="0.3">
      <c r="A463" s="6">
        <v>462</v>
      </c>
      <c r="B463" s="1" t="s">
        <v>21</v>
      </c>
      <c r="C463" s="1" t="s">
        <v>953</v>
      </c>
      <c r="D463" s="1" t="s">
        <v>956</v>
      </c>
      <c r="E463" s="1">
        <v>9700019002</v>
      </c>
      <c r="F463" s="7" t="s">
        <v>699</v>
      </c>
      <c r="G463" s="1" t="s">
        <v>641</v>
      </c>
      <c r="H463" s="1" t="s">
        <v>25</v>
      </c>
      <c r="I463" s="11" t="s">
        <v>955</v>
      </c>
      <c r="J463" s="11"/>
      <c r="K463" s="11"/>
      <c r="L463" s="11"/>
      <c r="M463" s="1" t="s">
        <v>26</v>
      </c>
      <c r="N463" s="6"/>
      <c r="O463" s="6"/>
      <c r="P463" s="12" t="e">
        <f t="shared" si="109"/>
        <v>#VALUE!</v>
      </c>
      <c r="Q463" s="12">
        <f t="shared" si="110"/>
        <v>-1</v>
      </c>
      <c r="R463" s="24" t="e">
        <f t="shared" si="111"/>
        <v>#VALUE!</v>
      </c>
      <c r="S463" s="25">
        <f t="shared" si="112"/>
        <v>1</v>
      </c>
      <c r="T463" s="23" t="e">
        <f t="shared" si="113"/>
        <v>#VALUE!</v>
      </c>
      <c r="U463" s="23"/>
      <c r="V463" s="1"/>
    </row>
    <row r="464" spans="1:22" x14ac:dyDescent="0.3">
      <c r="A464" s="6">
        <v>463</v>
      </c>
      <c r="B464" s="1" t="s">
        <v>21</v>
      </c>
      <c r="C464" s="1" t="s">
        <v>953</v>
      </c>
      <c r="D464" s="1" t="s">
        <v>957</v>
      </c>
      <c r="E464" s="1">
        <v>9700019002</v>
      </c>
      <c r="F464" s="7" t="s">
        <v>699</v>
      </c>
      <c r="G464" s="1" t="s">
        <v>641</v>
      </c>
      <c r="H464" s="1" t="s">
        <v>25</v>
      </c>
      <c r="I464" s="11" t="s">
        <v>955</v>
      </c>
      <c r="J464" s="11"/>
      <c r="K464" s="11"/>
      <c r="L464" s="11"/>
      <c r="M464" s="1" t="s">
        <v>26</v>
      </c>
      <c r="N464" s="6"/>
      <c r="O464" s="6"/>
      <c r="P464" s="12" t="e">
        <f t="shared" si="109"/>
        <v>#VALUE!</v>
      </c>
      <c r="Q464" s="12">
        <f t="shared" si="110"/>
        <v>-1</v>
      </c>
      <c r="R464" s="24" t="e">
        <f t="shared" si="111"/>
        <v>#VALUE!</v>
      </c>
      <c r="S464" s="25">
        <f t="shared" si="112"/>
        <v>1</v>
      </c>
      <c r="T464" s="23" t="e">
        <f t="shared" si="113"/>
        <v>#VALUE!</v>
      </c>
      <c r="U464" s="23"/>
      <c r="V464" s="1"/>
    </row>
    <row r="465" spans="1:22" x14ac:dyDescent="0.3">
      <c r="A465" s="6">
        <v>464</v>
      </c>
      <c r="B465" s="1" t="s">
        <v>21</v>
      </c>
      <c r="C465" s="1" t="s">
        <v>953</v>
      </c>
      <c r="D465" s="1" t="s">
        <v>958</v>
      </c>
      <c r="E465" s="1">
        <v>9700019002</v>
      </c>
      <c r="F465" s="7" t="s">
        <v>699</v>
      </c>
      <c r="G465" s="1" t="s">
        <v>641</v>
      </c>
      <c r="H465" s="1" t="s">
        <v>25</v>
      </c>
      <c r="I465" s="11" t="s">
        <v>955</v>
      </c>
      <c r="J465" s="11"/>
      <c r="K465" s="11"/>
      <c r="L465" s="11"/>
      <c r="M465" s="1" t="s">
        <v>26</v>
      </c>
      <c r="N465" s="6"/>
      <c r="O465" s="6"/>
      <c r="P465" s="12" t="e">
        <f t="shared" si="109"/>
        <v>#VALUE!</v>
      </c>
      <c r="Q465" s="12">
        <f t="shared" si="110"/>
        <v>-1</v>
      </c>
      <c r="R465" s="24" t="e">
        <f t="shared" si="111"/>
        <v>#VALUE!</v>
      </c>
      <c r="S465" s="25">
        <f t="shared" si="112"/>
        <v>1</v>
      </c>
      <c r="T465" s="23" t="e">
        <f t="shared" si="113"/>
        <v>#VALUE!</v>
      </c>
      <c r="U465" s="23"/>
      <c r="V465" s="1"/>
    </row>
    <row r="466" spans="1:22" x14ac:dyDescent="0.3">
      <c r="A466" s="6">
        <v>465</v>
      </c>
      <c r="B466" s="1" t="s">
        <v>21</v>
      </c>
      <c r="C466" s="1" t="s">
        <v>953</v>
      </c>
      <c r="D466" s="1" t="s">
        <v>959</v>
      </c>
      <c r="E466" s="1">
        <v>9700019002</v>
      </c>
      <c r="F466" s="7" t="s">
        <v>699</v>
      </c>
      <c r="G466" s="1" t="s">
        <v>641</v>
      </c>
      <c r="H466" s="1" t="s">
        <v>25</v>
      </c>
      <c r="I466" s="11" t="s">
        <v>955</v>
      </c>
      <c r="J466" s="11"/>
      <c r="K466" s="11"/>
      <c r="L466" s="11"/>
      <c r="M466" s="1" t="s">
        <v>26</v>
      </c>
      <c r="N466" s="6"/>
      <c r="O466" s="6"/>
      <c r="P466" s="12" t="e">
        <f t="shared" si="109"/>
        <v>#VALUE!</v>
      </c>
      <c r="Q466" s="12">
        <f t="shared" si="110"/>
        <v>-1</v>
      </c>
      <c r="R466" s="24" t="e">
        <f t="shared" si="111"/>
        <v>#VALUE!</v>
      </c>
      <c r="S466" s="25">
        <f t="shared" si="112"/>
        <v>1</v>
      </c>
      <c r="T466" s="23" t="e">
        <f t="shared" si="113"/>
        <v>#VALUE!</v>
      </c>
      <c r="U466" s="23"/>
      <c r="V466" s="1"/>
    </row>
    <row r="467" spans="1:22" x14ac:dyDescent="0.3">
      <c r="A467" s="6">
        <v>466</v>
      </c>
      <c r="B467" s="1" t="s">
        <v>28</v>
      </c>
      <c r="C467" s="1" t="s">
        <v>960</v>
      </c>
      <c r="D467" s="1" t="s">
        <v>961</v>
      </c>
      <c r="E467" s="1">
        <v>1510003526</v>
      </c>
      <c r="F467" s="7" t="s">
        <v>699</v>
      </c>
      <c r="G467" s="40" t="s">
        <v>927</v>
      </c>
      <c r="H467" s="1" t="s">
        <v>25</v>
      </c>
      <c r="I467" s="11" t="s">
        <v>962</v>
      </c>
      <c r="J467" s="11"/>
      <c r="K467" s="11"/>
      <c r="L467" s="11"/>
      <c r="M467" s="1" t="s">
        <v>32</v>
      </c>
      <c r="N467" s="6"/>
      <c r="O467" s="6"/>
      <c r="P467" s="12" t="e">
        <f t="shared" si="109"/>
        <v>#VALUE!</v>
      </c>
      <c r="Q467" s="12">
        <f t="shared" si="110"/>
        <v>-1</v>
      </c>
      <c r="R467" s="24" t="e">
        <f t="shared" si="111"/>
        <v>#VALUE!</v>
      </c>
      <c r="S467" s="25">
        <f t="shared" si="112"/>
        <v>1</v>
      </c>
      <c r="T467" s="23" t="e">
        <f t="shared" si="113"/>
        <v>#VALUE!</v>
      </c>
      <c r="U467" s="23"/>
      <c r="V467" s="1"/>
    </row>
    <row r="468" spans="1:22" x14ac:dyDescent="0.3">
      <c r="A468" s="6">
        <v>467</v>
      </c>
      <c r="B468" s="1" t="s">
        <v>28</v>
      </c>
      <c r="C468" s="1" t="s">
        <v>963</v>
      </c>
      <c r="D468" s="1" t="s">
        <v>964</v>
      </c>
      <c r="E468" s="1">
        <v>1510003645</v>
      </c>
      <c r="F468" s="7" t="s">
        <v>699</v>
      </c>
      <c r="G468" s="40" t="s">
        <v>965</v>
      </c>
      <c r="H468" s="1" t="s">
        <v>25</v>
      </c>
      <c r="I468" s="11" t="s">
        <v>962</v>
      </c>
      <c r="J468" s="11"/>
      <c r="K468" s="11"/>
      <c r="L468" s="11"/>
      <c r="M468" s="1" t="s">
        <v>32</v>
      </c>
      <c r="N468" s="6"/>
      <c r="O468" s="6"/>
      <c r="P468" s="12" t="e">
        <f t="shared" si="109"/>
        <v>#VALUE!</v>
      </c>
      <c r="Q468" s="12">
        <f t="shared" si="110"/>
        <v>-1</v>
      </c>
      <c r="R468" s="24" t="e">
        <f t="shared" si="111"/>
        <v>#VALUE!</v>
      </c>
      <c r="S468" s="25">
        <f t="shared" si="112"/>
        <v>1</v>
      </c>
      <c r="T468" s="23" t="e">
        <f t="shared" si="113"/>
        <v>#VALUE!</v>
      </c>
      <c r="U468" s="23"/>
      <c r="V468" s="1"/>
    </row>
    <row r="469" spans="1:22" x14ac:dyDescent="0.3">
      <c r="A469" s="6">
        <v>468</v>
      </c>
      <c r="B469" s="1" t="s">
        <v>28</v>
      </c>
      <c r="C469" s="1" t="s">
        <v>966</v>
      </c>
      <c r="D469" s="1" t="s">
        <v>967</v>
      </c>
      <c r="E469" s="1">
        <v>1510003370</v>
      </c>
      <c r="F469" s="7" t="s">
        <v>699</v>
      </c>
      <c r="G469" s="29" t="s">
        <v>968</v>
      </c>
      <c r="H469" s="1" t="s">
        <v>705</v>
      </c>
      <c r="I469" s="11" t="s">
        <v>969</v>
      </c>
      <c r="J469" s="11"/>
      <c r="K469" s="11"/>
      <c r="L469" s="11"/>
      <c r="M469" s="1" t="s">
        <v>32</v>
      </c>
      <c r="N469" s="6"/>
      <c r="O469" s="6"/>
      <c r="P469" s="12" t="e">
        <f t="shared" si="109"/>
        <v>#VALUE!</v>
      </c>
      <c r="Q469" s="12">
        <f t="shared" si="110"/>
        <v>-1</v>
      </c>
      <c r="R469" s="24" t="e">
        <f t="shared" si="111"/>
        <v>#VALUE!</v>
      </c>
      <c r="S469" s="25">
        <f t="shared" si="112"/>
        <v>1</v>
      </c>
      <c r="T469" s="23" t="e">
        <f t="shared" si="113"/>
        <v>#VALUE!</v>
      </c>
      <c r="U469" s="23"/>
      <c r="V469" s="1"/>
    </row>
    <row r="470" spans="1:22" x14ac:dyDescent="0.3">
      <c r="A470" s="6">
        <v>469</v>
      </c>
      <c r="B470" s="1" t="s">
        <v>21</v>
      </c>
      <c r="C470" s="1"/>
      <c r="D470" s="1" t="s">
        <v>970</v>
      </c>
      <c r="E470" s="1">
        <v>9700019049</v>
      </c>
      <c r="F470" s="7" t="s">
        <v>699</v>
      </c>
      <c r="G470" s="1" t="s">
        <v>941</v>
      </c>
      <c r="H470" s="1" t="s">
        <v>25</v>
      </c>
      <c r="I470" s="11" t="s">
        <v>971</v>
      </c>
      <c r="J470" s="11"/>
      <c r="K470" s="11"/>
      <c r="L470" s="11"/>
      <c r="M470" s="1" t="s">
        <v>26</v>
      </c>
      <c r="N470" s="6"/>
      <c r="O470" s="6"/>
      <c r="P470" s="12" t="e">
        <f t="shared" si="109"/>
        <v>#VALUE!</v>
      </c>
      <c r="Q470" s="12">
        <f t="shared" si="110"/>
        <v>-1</v>
      </c>
      <c r="R470" s="24" t="e">
        <f t="shared" si="111"/>
        <v>#VALUE!</v>
      </c>
      <c r="S470" s="25">
        <f t="shared" si="112"/>
        <v>1</v>
      </c>
      <c r="T470" s="23" t="e">
        <f t="shared" si="113"/>
        <v>#VALUE!</v>
      </c>
      <c r="U470" s="23"/>
      <c r="V470" s="1"/>
    </row>
    <row r="471" spans="1:22" x14ac:dyDescent="0.3">
      <c r="A471" s="6">
        <v>470</v>
      </c>
      <c r="B471" s="1" t="s">
        <v>21</v>
      </c>
      <c r="C471" s="1"/>
      <c r="D471" s="1" t="s">
        <v>972</v>
      </c>
      <c r="E471" s="1">
        <v>9700019049</v>
      </c>
      <c r="F471" s="7" t="s">
        <v>699</v>
      </c>
      <c r="G471" s="1" t="s">
        <v>946</v>
      </c>
      <c r="H471" s="1" t="s">
        <v>25</v>
      </c>
      <c r="I471" s="11" t="s">
        <v>971</v>
      </c>
      <c r="J471" s="11"/>
      <c r="K471" s="11"/>
      <c r="L471" s="11"/>
      <c r="M471" s="1" t="s">
        <v>26</v>
      </c>
      <c r="N471" s="6"/>
      <c r="O471" s="6"/>
      <c r="P471" s="12" t="e">
        <f t="shared" si="109"/>
        <v>#VALUE!</v>
      </c>
      <c r="Q471" s="12">
        <f t="shared" si="110"/>
        <v>-1</v>
      </c>
      <c r="R471" s="24" t="e">
        <f t="shared" si="111"/>
        <v>#VALUE!</v>
      </c>
      <c r="S471" s="25">
        <f t="shared" si="112"/>
        <v>1</v>
      </c>
      <c r="T471" s="23" t="e">
        <f t="shared" si="113"/>
        <v>#VALUE!</v>
      </c>
      <c r="U471" s="23"/>
      <c r="V471" s="1"/>
    </row>
    <row r="472" spans="1:22" x14ac:dyDescent="0.3">
      <c r="A472" s="6">
        <v>471</v>
      </c>
      <c r="B472" s="1" t="s">
        <v>21</v>
      </c>
      <c r="C472" s="1"/>
      <c r="D472" s="1" t="s">
        <v>973</v>
      </c>
      <c r="E472" s="1">
        <v>9700019049</v>
      </c>
      <c r="F472" s="7" t="s">
        <v>699</v>
      </c>
      <c r="G472" s="1" t="s">
        <v>974</v>
      </c>
      <c r="H472" s="1" t="s">
        <v>25</v>
      </c>
      <c r="I472" s="11" t="s">
        <v>971</v>
      </c>
      <c r="J472" s="11"/>
      <c r="K472" s="11"/>
      <c r="L472" s="11"/>
      <c r="M472" s="1" t="s">
        <v>26</v>
      </c>
      <c r="N472" s="6"/>
      <c r="O472" s="6"/>
      <c r="P472" s="12" t="e">
        <f t="shared" si="109"/>
        <v>#VALUE!</v>
      </c>
      <c r="Q472" s="12">
        <f t="shared" si="110"/>
        <v>-1</v>
      </c>
      <c r="R472" s="24" t="e">
        <f t="shared" si="111"/>
        <v>#VALUE!</v>
      </c>
      <c r="S472" s="25">
        <f t="shared" si="112"/>
        <v>1</v>
      </c>
      <c r="T472" s="23" t="e">
        <f t="shared" si="113"/>
        <v>#VALUE!</v>
      </c>
      <c r="U472" s="23"/>
      <c r="V472" s="1"/>
    </row>
    <row r="473" spans="1:22" x14ac:dyDescent="0.3">
      <c r="A473" s="6">
        <v>472</v>
      </c>
      <c r="B473" s="1" t="s">
        <v>21</v>
      </c>
      <c r="C473" s="1"/>
      <c r="D473" s="1" t="s">
        <v>975</v>
      </c>
      <c r="E473" s="1">
        <v>9700019049</v>
      </c>
      <c r="F473" s="7" t="s">
        <v>699</v>
      </c>
      <c r="G473" s="1" t="s">
        <v>792</v>
      </c>
      <c r="H473" s="1" t="s">
        <v>25</v>
      </c>
      <c r="I473" s="11" t="s">
        <v>971</v>
      </c>
      <c r="J473" s="11"/>
      <c r="K473" s="11"/>
      <c r="L473" s="11"/>
      <c r="M473" s="1" t="s">
        <v>26</v>
      </c>
      <c r="N473" s="6"/>
      <c r="O473" s="6"/>
      <c r="P473" s="12" t="e">
        <f t="shared" si="109"/>
        <v>#VALUE!</v>
      </c>
      <c r="Q473" s="12">
        <f t="shared" si="110"/>
        <v>-1</v>
      </c>
      <c r="R473" s="24" t="e">
        <f t="shared" si="111"/>
        <v>#VALUE!</v>
      </c>
      <c r="S473" s="25">
        <f t="shared" si="112"/>
        <v>1</v>
      </c>
      <c r="T473" s="23" t="e">
        <f t="shared" si="113"/>
        <v>#VALUE!</v>
      </c>
      <c r="U473" s="23"/>
      <c r="V473" s="1"/>
    </row>
    <row r="474" spans="1:22" x14ac:dyDescent="0.3">
      <c r="A474" s="6">
        <v>473</v>
      </c>
      <c r="B474" s="1" t="s">
        <v>21</v>
      </c>
      <c r="C474" s="1"/>
      <c r="D474" s="1" t="s">
        <v>976</v>
      </c>
      <c r="E474" s="1">
        <v>9700019049</v>
      </c>
      <c r="F474" s="7" t="s">
        <v>699</v>
      </c>
      <c r="G474" s="1" t="s">
        <v>792</v>
      </c>
      <c r="H474" s="1" t="s">
        <v>25</v>
      </c>
      <c r="I474" s="11" t="s">
        <v>971</v>
      </c>
      <c r="J474" s="11"/>
      <c r="K474" s="11"/>
      <c r="L474" s="11"/>
      <c r="M474" s="1" t="s">
        <v>26</v>
      </c>
      <c r="N474" s="6"/>
      <c r="O474" s="6"/>
      <c r="P474" s="12" t="e">
        <f t="shared" si="109"/>
        <v>#VALUE!</v>
      </c>
      <c r="Q474" s="12">
        <f t="shared" si="110"/>
        <v>-1</v>
      </c>
      <c r="R474" s="24" t="e">
        <f t="shared" si="111"/>
        <v>#VALUE!</v>
      </c>
      <c r="S474" s="25">
        <f t="shared" si="112"/>
        <v>1</v>
      </c>
      <c r="T474" s="23" t="e">
        <f t="shared" si="113"/>
        <v>#VALUE!</v>
      </c>
      <c r="U474" s="23"/>
      <c r="V474" s="1"/>
    </row>
    <row r="475" spans="1:22" x14ac:dyDescent="0.3">
      <c r="A475" s="6">
        <v>474</v>
      </c>
      <c r="B475" s="1" t="s">
        <v>21</v>
      </c>
      <c r="C475" s="1"/>
      <c r="D475" s="1" t="s">
        <v>977</v>
      </c>
      <c r="E475" s="1">
        <v>9700019049</v>
      </c>
      <c r="F475" s="7" t="s">
        <v>699</v>
      </c>
      <c r="G475" s="1" t="s">
        <v>978</v>
      </c>
      <c r="H475" s="1" t="s">
        <v>25</v>
      </c>
      <c r="I475" s="11" t="s">
        <v>971</v>
      </c>
      <c r="J475" s="11"/>
      <c r="K475" s="11"/>
      <c r="L475" s="11"/>
      <c r="M475" s="1" t="s">
        <v>26</v>
      </c>
      <c r="N475" s="6"/>
      <c r="O475" s="6"/>
      <c r="P475" s="12" t="e">
        <f t="shared" si="109"/>
        <v>#VALUE!</v>
      </c>
      <c r="Q475" s="12">
        <f t="shared" si="110"/>
        <v>-1</v>
      </c>
      <c r="R475" s="24" t="e">
        <f t="shared" si="111"/>
        <v>#VALUE!</v>
      </c>
      <c r="S475" s="25">
        <f t="shared" si="112"/>
        <v>1</v>
      </c>
      <c r="T475" s="23" t="e">
        <f t="shared" si="113"/>
        <v>#VALUE!</v>
      </c>
      <c r="U475" s="23"/>
      <c r="V475" s="1"/>
    </row>
    <row r="476" spans="1:22" x14ac:dyDescent="0.3">
      <c r="A476" s="6">
        <v>475</v>
      </c>
      <c r="B476" s="1" t="s">
        <v>21</v>
      </c>
      <c r="C476" s="1"/>
      <c r="D476" s="1" t="s">
        <v>979</v>
      </c>
      <c r="E476" s="1">
        <v>9700019049</v>
      </c>
      <c r="F476" s="7" t="s">
        <v>699</v>
      </c>
      <c r="G476" s="1" t="s">
        <v>978</v>
      </c>
      <c r="H476" s="1" t="s">
        <v>25</v>
      </c>
      <c r="I476" s="11" t="s">
        <v>971</v>
      </c>
      <c r="J476" s="11"/>
      <c r="K476" s="11"/>
      <c r="L476" s="11"/>
      <c r="M476" s="1" t="s">
        <v>26</v>
      </c>
      <c r="N476" s="6"/>
      <c r="O476" s="6"/>
      <c r="P476" s="12" t="e">
        <f t="shared" si="109"/>
        <v>#VALUE!</v>
      </c>
      <c r="Q476" s="12">
        <f t="shared" si="110"/>
        <v>-1</v>
      </c>
      <c r="R476" s="24" t="e">
        <f t="shared" si="111"/>
        <v>#VALUE!</v>
      </c>
      <c r="S476" s="25">
        <f t="shared" si="112"/>
        <v>1</v>
      </c>
      <c r="T476" s="23" t="e">
        <f t="shared" si="113"/>
        <v>#VALUE!</v>
      </c>
      <c r="U476" s="23"/>
      <c r="V476" s="1"/>
    </row>
    <row r="477" spans="1:22" x14ac:dyDescent="0.3">
      <c r="A477" s="6">
        <v>476</v>
      </c>
      <c r="B477" s="1" t="s">
        <v>21</v>
      </c>
      <c r="C477" s="1"/>
      <c r="D477" s="1" t="s">
        <v>980</v>
      </c>
      <c r="E477" s="1">
        <v>9700019049</v>
      </c>
      <c r="F477" s="7" t="s">
        <v>699</v>
      </c>
      <c r="G477" s="1" t="s">
        <v>361</v>
      </c>
      <c r="H477" s="1" t="s">
        <v>25</v>
      </c>
      <c r="I477" s="11" t="s">
        <v>971</v>
      </c>
      <c r="J477" s="11"/>
      <c r="K477" s="11"/>
      <c r="L477" s="11"/>
      <c r="M477" s="1" t="s">
        <v>26</v>
      </c>
      <c r="N477" s="6"/>
      <c r="O477" s="6"/>
      <c r="P477" s="12" t="e">
        <f t="shared" si="109"/>
        <v>#VALUE!</v>
      </c>
      <c r="Q477" s="12">
        <f t="shared" si="110"/>
        <v>-1</v>
      </c>
      <c r="R477" s="24" t="e">
        <f t="shared" si="111"/>
        <v>#VALUE!</v>
      </c>
      <c r="S477" s="25">
        <f t="shared" si="112"/>
        <v>1</v>
      </c>
      <c r="T477" s="23" t="e">
        <f t="shared" si="113"/>
        <v>#VALUE!</v>
      </c>
      <c r="U477" s="23"/>
      <c r="V477" s="1"/>
    </row>
    <row r="478" spans="1:22" x14ac:dyDescent="0.3">
      <c r="A478" s="6">
        <v>477</v>
      </c>
      <c r="B478" s="1"/>
      <c r="C478" s="1"/>
      <c r="D478" s="1"/>
      <c r="E478" s="1"/>
      <c r="F478" s="1"/>
      <c r="G478" s="1"/>
      <c r="H478" s="1"/>
      <c r="I478" s="11"/>
      <c r="J478" s="11"/>
      <c r="K478" s="11"/>
      <c r="L478" s="11"/>
      <c r="M478" s="1"/>
      <c r="N478" s="6"/>
      <c r="O478" s="6"/>
      <c r="P478" s="12">
        <f t="shared" si="109"/>
        <v>-1</v>
      </c>
      <c r="Q478" s="12">
        <f t="shared" si="110"/>
        <v>-1</v>
      </c>
      <c r="R478" s="24">
        <f t="shared" si="111"/>
        <v>1</v>
      </c>
      <c r="S478" s="25">
        <f t="shared" si="112"/>
        <v>1</v>
      </c>
      <c r="T478" s="23" t="str">
        <f t="shared" si="113"/>
        <v>To Paid</v>
      </c>
      <c r="U478" s="23"/>
      <c r="V478" s="1"/>
    </row>
    <row r="479" spans="1:22" x14ac:dyDescent="0.3">
      <c r="A479" s="6">
        <v>478</v>
      </c>
      <c r="B479" s="1"/>
      <c r="C479" s="1"/>
      <c r="D479" s="1"/>
      <c r="E479" s="1"/>
      <c r="F479" s="1"/>
      <c r="G479" s="1"/>
      <c r="H479" s="1"/>
      <c r="I479" s="11"/>
      <c r="J479" s="11"/>
      <c r="K479" s="11"/>
      <c r="L479" s="11"/>
      <c r="M479" s="1"/>
      <c r="N479" s="6"/>
      <c r="O479" s="6"/>
      <c r="P479" s="12">
        <f t="shared" si="109"/>
        <v>-1</v>
      </c>
      <c r="Q479" s="12">
        <f t="shared" si="110"/>
        <v>-1</v>
      </c>
      <c r="R479" s="24">
        <f t="shared" si="111"/>
        <v>1</v>
      </c>
      <c r="S479" s="25">
        <f t="shared" si="112"/>
        <v>1</v>
      </c>
      <c r="T479" s="23" t="str">
        <f t="shared" si="113"/>
        <v>To Paid</v>
      </c>
      <c r="U479" s="23"/>
      <c r="V479" s="1"/>
    </row>
    <row r="480" spans="1:22" x14ac:dyDescent="0.3">
      <c r="A480" s="6">
        <v>479</v>
      </c>
      <c r="B480" s="1"/>
      <c r="C480" s="1"/>
      <c r="D480" s="1"/>
      <c r="E480" s="1"/>
      <c r="F480" s="1"/>
      <c r="G480" s="1"/>
      <c r="H480" s="1"/>
      <c r="I480" s="11"/>
      <c r="J480" s="11"/>
      <c r="K480" s="11"/>
      <c r="L480" s="11"/>
      <c r="M480" s="1"/>
      <c r="N480" s="6"/>
      <c r="O480" s="6"/>
      <c r="P480" s="12">
        <f t="shared" si="109"/>
        <v>-1</v>
      </c>
      <c r="Q480" s="12">
        <f t="shared" si="110"/>
        <v>-1</v>
      </c>
      <c r="R480" s="24">
        <f t="shared" si="111"/>
        <v>1</v>
      </c>
      <c r="S480" s="25">
        <f t="shared" si="112"/>
        <v>1</v>
      </c>
      <c r="T480" s="23" t="str">
        <f t="shared" si="113"/>
        <v>To Paid</v>
      </c>
      <c r="U480" s="23"/>
      <c r="V480" s="1"/>
    </row>
    <row r="481" spans="1:22" x14ac:dyDescent="0.3">
      <c r="A481" s="6">
        <v>480</v>
      </c>
      <c r="B481" s="1"/>
      <c r="C481" s="1"/>
      <c r="D481" s="1"/>
      <c r="E481" s="1"/>
      <c r="F481" s="1"/>
      <c r="G481" s="1"/>
      <c r="H481" s="1"/>
      <c r="I481" s="11"/>
      <c r="J481" s="11"/>
      <c r="K481" s="11"/>
      <c r="L481" s="11"/>
      <c r="M481" s="1"/>
      <c r="N481" s="6"/>
      <c r="O481" s="6"/>
      <c r="P481" s="12">
        <f t="shared" si="109"/>
        <v>-1</v>
      </c>
      <c r="Q481" s="12">
        <f t="shared" si="110"/>
        <v>-1</v>
      </c>
      <c r="R481" s="24">
        <f t="shared" si="111"/>
        <v>1</v>
      </c>
      <c r="S481" s="25">
        <f t="shared" si="112"/>
        <v>1</v>
      </c>
      <c r="T481" s="23" t="str">
        <f t="shared" si="113"/>
        <v>To Paid</v>
      </c>
      <c r="U481" s="23"/>
      <c r="V481" s="1"/>
    </row>
    <row r="482" spans="1:22" x14ac:dyDescent="0.3">
      <c r="A482" s="6">
        <v>481</v>
      </c>
      <c r="B482" s="1"/>
      <c r="C482" s="1"/>
      <c r="D482" s="1"/>
      <c r="E482" s="1"/>
      <c r="F482" s="1"/>
      <c r="G482" s="1"/>
      <c r="H482" s="1"/>
      <c r="I482" s="11"/>
      <c r="J482" s="11"/>
      <c r="K482" s="11"/>
      <c r="L482" s="11"/>
      <c r="M482" s="1"/>
      <c r="N482" s="6"/>
      <c r="O482" s="6"/>
      <c r="P482" s="12">
        <f t="shared" si="109"/>
        <v>-1</v>
      </c>
      <c r="Q482" s="12">
        <f t="shared" si="110"/>
        <v>-1</v>
      </c>
      <c r="R482" s="24">
        <f t="shared" si="111"/>
        <v>1</v>
      </c>
      <c r="S482" s="25">
        <f t="shared" si="112"/>
        <v>1</v>
      </c>
      <c r="T482" s="23" t="str">
        <f t="shared" si="113"/>
        <v>To Paid</v>
      </c>
      <c r="U482" s="23"/>
      <c r="V482" s="1"/>
    </row>
    <row r="483" spans="1:22" x14ac:dyDescent="0.3">
      <c r="A483" s="6">
        <v>482</v>
      </c>
      <c r="B483" s="1"/>
      <c r="C483" s="1"/>
      <c r="D483" s="1"/>
      <c r="E483" s="1"/>
      <c r="F483" s="1"/>
      <c r="G483" s="1"/>
      <c r="H483" s="1"/>
      <c r="I483" s="11"/>
      <c r="J483" s="11"/>
      <c r="K483" s="11"/>
      <c r="L483" s="11"/>
      <c r="M483" s="1"/>
      <c r="N483" s="6"/>
      <c r="O483" s="6"/>
      <c r="P483" s="12">
        <f t="shared" si="109"/>
        <v>-1</v>
      </c>
      <c r="Q483" s="12">
        <f t="shared" si="110"/>
        <v>-1</v>
      </c>
      <c r="R483" s="24">
        <f t="shared" si="111"/>
        <v>1</v>
      </c>
      <c r="S483" s="25">
        <f t="shared" si="112"/>
        <v>1</v>
      </c>
      <c r="T483" s="23" t="str">
        <f t="shared" si="113"/>
        <v>To Paid</v>
      </c>
      <c r="U483" s="23"/>
      <c r="V483" s="1"/>
    </row>
    <row r="484" spans="1:22" x14ac:dyDescent="0.3">
      <c r="A484" s="6">
        <v>483</v>
      </c>
      <c r="B484" s="1"/>
      <c r="C484" s="1"/>
      <c r="D484" s="1"/>
      <c r="E484" s="1"/>
      <c r="F484" s="1"/>
      <c r="G484" s="1"/>
      <c r="H484" s="1"/>
      <c r="I484" s="11"/>
      <c r="J484" s="11"/>
      <c r="K484" s="11"/>
      <c r="L484" s="11"/>
      <c r="M484" s="1"/>
      <c r="N484" s="6"/>
      <c r="O484" s="6"/>
      <c r="P484" s="12">
        <f t="shared" si="109"/>
        <v>-1</v>
      </c>
      <c r="Q484" s="12">
        <f t="shared" si="110"/>
        <v>-1</v>
      </c>
      <c r="R484" s="24">
        <f t="shared" si="111"/>
        <v>1</v>
      </c>
      <c r="S484" s="25">
        <f t="shared" si="112"/>
        <v>1</v>
      </c>
      <c r="T484" s="23" t="str">
        <f t="shared" si="113"/>
        <v>To Paid</v>
      </c>
      <c r="U484" s="23"/>
      <c r="V484" s="1"/>
    </row>
    <row r="485" spans="1:22" x14ac:dyDescent="0.3">
      <c r="A485" s="6">
        <v>484</v>
      </c>
      <c r="B485" s="1"/>
      <c r="C485" s="1"/>
      <c r="D485" s="1"/>
      <c r="E485" s="1"/>
      <c r="F485" s="1"/>
      <c r="G485" s="1"/>
      <c r="H485" s="1"/>
      <c r="I485" s="11"/>
      <c r="J485" s="11"/>
      <c r="K485" s="11"/>
      <c r="L485" s="11"/>
      <c r="M485" s="1"/>
      <c r="N485" s="6"/>
      <c r="O485" s="6"/>
      <c r="P485" s="12">
        <f t="shared" si="109"/>
        <v>-1</v>
      </c>
      <c r="Q485" s="12">
        <f t="shared" si="110"/>
        <v>-1</v>
      </c>
      <c r="R485" s="24">
        <f t="shared" si="111"/>
        <v>1</v>
      </c>
      <c r="S485" s="25">
        <f t="shared" si="112"/>
        <v>1</v>
      </c>
      <c r="T485" s="23" t="str">
        <f t="shared" si="113"/>
        <v>To Paid</v>
      </c>
      <c r="U485" s="23"/>
      <c r="V485" s="1"/>
    </row>
    <row r="486" spans="1:22" x14ac:dyDescent="0.3">
      <c r="A486" s="6">
        <v>485</v>
      </c>
      <c r="B486" s="1"/>
      <c r="C486" s="1"/>
      <c r="D486" s="1"/>
      <c r="E486" s="1"/>
      <c r="F486" s="1"/>
      <c r="G486" s="1"/>
      <c r="H486" s="1"/>
      <c r="I486" s="11"/>
      <c r="J486" s="11"/>
      <c r="K486" s="11"/>
      <c r="L486" s="11"/>
      <c r="M486" s="1"/>
      <c r="N486" s="6"/>
      <c r="O486" s="6"/>
      <c r="P486" s="12">
        <f t="shared" si="109"/>
        <v>-1</v>
      </c>
      <c r="Q486" s="12">
        <f t="shared" si="110"/>
        <v>-1</v>
      </c>
      <c r="R486" s="24">
        <f t="shared" si="111"/>
        <v>1</v>
      </c>
      <c r="S486" s="25">
        <f t="shared" si="112"/>
        <v>1</v>
      </c>
      <c r="T486" s="23" t="str">
        <f t="shared" si="113"/>
        <v>To Paid</v>
      </c>
      <c r="U486" s="23"/>
      <c r="V486" s="1"/>
    </row>
    <row r="487" spans="1:22" x14ac:dyDescent="0.3">
      <c r="A487" s="6">
        <v>486</v>
      </c>
      <c r="B487" s="1"/>
      <c r="C487" s="1"/>
      <c r="D487" s="1"/>
      <c r="E487" s="1"/>
      <c r="F487" s="1"/>
      <c r="G487" s="1"/>
      <c r="H487" s="1"/>
      <c r="I487" s="11"/>
      <c r="J487" s="11"/>
      <c r="K487" s="11"/>
      <c r="L487" s="11"/>
      <c r="M487" s="1"/>
      <c r="N487" s="6"/>
      <c r="O487" s="6"/>
      <c r="P487" s="12">
        <f t="shared" si="109"/>
        <v>-1</v>
      </c>
      <c r="Q487" s="12">
        <f t="shared" si="110"/>
        <v>-1</v>
      </c>
      <c r="R487" s="24">
        <f t="shared" si="111"/>
        <v>1</v>
      </c>
      <c r="S487" s="25">
        <f t="shared" si="112"/>
        <v>1</v>
      </c>
      <c r="T487" s="23" t="str">
        <f t="shared" si="113"/>
        <v>To Paid</v>
      </c>
      <c r="U487" s="23"/>
      <c r="V487" s="1"/>
    </row>
    <row r="488" spans="1:22" x14ac:dyDescent="0.3">
      <c r="A488" s="6">
        <v>487</v>
      </c>
      <c r="B488" s="1"/>
      <c r="C488" s="1"/>
      <c r="D488" s="1"/>
      <c r="E488" s="1"/>
      <c r="F488" s="1"/>
      <c r="G488" s="1"/>
      <c r="H488" s="1"/>
      <c r="I488" s="11"/>
      <c r="J488" s="11"/>
      <c r="K488" s="11"/>
      <c r="L488" s="11"/>
      <c r="M488" s="1"/>
      <c r="N488" s="6"/>
      <c r="O488" s="6"/>
      <c r="P488" s="12">
        <f t="shared" si="109"/>
        <v>-1</v>
      </c>
      <c r="Q488" s="12">
        <f t="shared" si="110"/>
        <v>-1</v>
      </c>
      <c r="R488" s="24">
        <f t="shared" si="111"/>
        <v>1</v>
      </c>
      <c r="S488" s="25">
        <f t="shared" si="112"/>
        <v>1</v>
      </c>
      <c r="T488" s="23" t="str">
        <f t="shared" si="113"/>
        <v>To Paid</v>
      </c>
      <c r="U488" s="23"/>
      <c r="V488" s="1"/>
    </row>
    <row r="489" spans="1:22" x14ac:dyDescent="0.3">
      <c r="A489" s="6">
        <v>488</v>
      </c>
      <c r="B489" s="1"/>
      <c r="C489" s="1"/>
      <c r="D489" s="1"/>
      <c r="E489" s="1"/>
      <c r="F489" s="1"/>
      <c r="G489" s="1"/>
      <c r="H489" s="1"/>
      <c r="I489" s="11"/>
      <c r="J489" s="11"/>
      <c r="K489" s="11"/>
      <c r="L489" s="11"/>
      <c r="M489" s="1"/>
      <c r="N489" s="6"/>
      <c r="O489" s="6"/>
      <c r="P489" s="12">
        <f t="shared" si="109"/>
        <v>-1</v>
      </c>
      <c r="Q489" s="12">
        <f t="shared" si="110"/>
        <v>-1</v>
      </c>
      <c r="R489" s="24">
        <f t="shared" si="111"/>
        <v>1</v>
      </c>
      <c r="S489" s="25">
        <f t="shared" si="112"/>
        <v>1</v>
      </c>
      <c r="T489" s="23" t="str">
        <f t="shared" si="113"/>
        <v>To Paid</v>
      </c>
      <c r="U489" s="23"/>
      <c r="V489" s="1"/>
    </row>
    <row r="490" spans="1:22" x14ac:dyDescent="0.3">
      <c r="A490" s="6">
        <v>489</v>
      </c>
      <c r="B490" s="1"/>
      <c r="C490" s="1"/>
      <c r="D490" s="1"/>
      <c r="E490" s="1"/>
      <c r="F490" s="1"/>
      <c r="G490" s="1"/>
      <c r="H490" s="1"/>
      <c r="I490" s="11"/>
      <c r="J490" s="11"/>
      <c r="K490" s="11"/>
      <c r="L490" s="11"/>
      <c r="M490" s="1"/>
      <c r="N490" s="6"/>
      <c r="O490" s="6"/>
      <c r="P490" s="12">
        <f t="shared" si="109"/>
        <v>-1</v>
      </c>
      <c r="Q490" s="12">
        <f t="shared" si="110"/>
        <v>-1</v>
      </c>
      <c r="R490" s="24">
        <f t="shared" si="111"/>
        <v>1</v>
      </c>
      <c r="S490" s="25">
        <f t="shared" si="112"/>
        <v>1</v>
      </c>
      <c r="T490" s="23" t="str">
        <f t="shared" si="113"/>
        <v>To Paid</v>
      </c>
      <c r="U490" s="23"/>
      <c r="V490" s="1"/>
    </row>
    <row r="491" spans="1:22" x14ac:dyDescent="0.3">
      <c r="A491" s="6">
        <v>490</v>
      </c>
      <c r="B491" s="1"/>
      <c r="C491" s="1"/>
      <c r="D491" s="1"/>
      <c r="E491" s="1"/>
      <c r="F491" s="1"/>
      <c r="G491" s="1"/>
      <c r="H491" s="1"/>
      <c r="I491" s="11"/>
      <c r="J491" s="11"/>
      <c r="K491" s="11"/>
      <c r="L491" s="11"/>
      <c r="M491" s="1"/>
      <c r="N491" s="6"/>
      <c r="O491" s="6"/>
      <c r="P491" s="12">
        <f t="shared" si="109"/>
        <v>-1</v>
      </c>
      <c r="Q491" s="12">
        <f t="shared" si="110"/>
        <v>-1</v>
      </c>
      <c r="R491" s="24">
        <f t="shared" si="111"/>
        <v>1</v>
      </c>
      <c r="S491" s="25">
        <f t="shared" si="112"/>
        <v>1</v>
      </c>
      <c r="T491" s="23" t="str">
        <f t="shared" si="113"/>
        <v>To Paid</v>
      </c>
      <c r="U491" s="23"/>
      <c r="V491" s="1"/>
    </row>
    <row r="492" spans="1:22" x14ac:dyDescent="0.3">
      <c r="A492" s="6">
        <v>491</v>
      </c>
      <c r="B492" s="1"/>
      <c r="C492" s="1"/>
      <c r="D492" s="1"/>
      <c r="E492" s="1"/>
      <c r="F492" s="1"/>
      <c r="G492" s="1"/>
      <c r="H492" s="1"/>
      <c r="I492" s="11"/>
      <c r="J492" s="11"/>
      <c r="K492" s="11"/>
      <c r="L492" s="11"/>
      <c r="M492" s="1"/>
      <c r="N492" s="6"/>
      <c r="O492" s="6"/>
      <c r="P492" s="12">
        <f t="shared" si="109"/>
        <v>-1</v>
      </c>
      <c r="Q492" s="12">
        <f t="shared" si="110"/>
        <v>-1</v>
      </c>
      <c r="R492" s="24">
        <f t="shared" si="111"/>
        <v>1</v>
      </c>
      <c r="S492" s="25">
        <f t="shared" si="112"/>
        <v>1</v>
      </c>
      <c r="T492" s="23" t="str">
        <f t="shared" si="113"/>
        <v>To Paid</v>
      </c>
      <c r="U492" s="23"/>
      <c r="V492" s="1"/>
    </row>
    <row r="493" spans="1:22" x14ac:dyDescent="0.3">
      <c r="A493" s="6">
        <v>492</v>
      </c>
      <c r="B493" s="1"/>
      <c r="C493" s="1"/>
      <c r="D493" s="1"/>
      <c r="E493" s="1"/>
      <c r="F493" s="1"/>
      <c r="G493" s="1"/>
      <c r="H493" s="1"/>
      <c r="I493" s="11"/>
      <c r="J493" s="11"/>
      <c r="K493" s="11"/>
      <c r="L493" s="11"/>
      <c r="M493" s="1"/>
      <c r="N493" s="6"/>
      <c r="O493" s="6"/>
      <c r="P493" s="12">
        <f t="shared" si="109"/>
        <v>-1</v>
      </c>
      <c r="Q493" s="12">
        <f t="shared" si="110"/>
        <v>-1</v>
      </c>
      <c r="R493" s="24">
        <f t="shared" si="111"/>
        <v>1</v>
      </c>
      <c r="S493" s="25">
        <f t="shared" si="112"/>
        <v>1</v>
      </c>
      <c r="T493" s="23" t="str">
        <f t="shared" si="113"/>
        <v>To Paid</v>
      </c>
      <c r="U493" s="23"/>
      <c r="V493" s="1"/>
    </row>
    <row r="494" spans="1:22" x14ac:dyDescent="0.3">
      <c r="A494" s="6">
        <v>493</v>
      </c>
      <c r="B494" s="1"/>
      <c r="C494" s="1"/>
      <c r="D494" s="1"/>
      <c r="E494" s="1"/>
      <c r="F494" s="1"/>
      <c r="G494" s="1"/>
      <c r="H494" s="1"/>
      <c r="I494" s="11"/>
      <c r="J494" s="11"/>
      <c r="K494" s="11"/>
      <c r="L494" s="11"/>
      <c r="M494" s="1"/>
      <c r="N494" s="6"/>
      <c r="O494" s="6"/>
      <c r="P494" s="12">
        <f t="shared" si="109"/>
        <v>-1</v>
      </c>
      <c r="Q494" s="12">
        <f t="shared" si="110"/>
        <v>-1</v>
      </c>
      <c r="R494" s="24">
        <f t="shared" si="111"/>
        <v>1</v>
      </c>
      <c r="S494" s="25">
        <f t="shared" si="112"/>
        <v>1</v>
      </c>
      <c r="T494" s="23" t="str">
        <f t="shared" si="113"/>
        <v>To Paid</v>
      </c>
      <c r="U494" s="23"/>
      <c r="V494" s="1"/>
    </row>
    <row r="495" spans="1:22" x14ac:dyDescent="0.3">
      <c r="A495" s="6">
        <v>494</v>
      </c>
      <c r="B495" s="1"/>
      <c r="C495" s="1"/>
      <c r="D495" s="1"/>
      <c r="E495" s="1"/>
      <c r="F495" s="1"/>
      <c r="G495" s="1"/>
      <c r="H495" s="1"/>
      <c r="I495" s="11"/>
      <c r="J495" s="11"/>
      <c r="K495" s="11"/>
      <c r="L495" s="11"/>
      <c r="M495" s="1"/>
      <c r="N495" s="6"/>
      <c r="O495" s="6"/>
      <c r="P495" s="12">
        <f t="shared" si="109"/>
        <v>-1</v>
      </c>
      <c r="Q495" s="12">
        <f t="shared" si="110"/>
        <v>-1</v>
      </c>
      <c r="R495" s="24">
        <f t="shared" si="111"/>
        <v>1</v>
      </c>
      <c r="S495" s="25">
        <f t="shared" si="112"/>
        <v>1</v>
      </c>
      <c r="T495" s="23" t="str">
        <f t="shared" si="113"/>
        <v>To Paid</v>
      </c>
      <c r="U495" s="23"/>
      <c r="V495" s="1"/>
    </row>
    <row r="496" spans="1:22" x14ac:dyDescent="0.3">
      <c r="A496" s="6">
        <v>495</v>
      </c>
      <c r="B496" s="1"/>
      <c r="C496" s="1"/>
      <c r="D496" s="1"/>
      <c r="E496" s="1"/>
      <c r="F496" s="1"/>
      <c r="G496" s="1"/>
      <c r="H496" s="1"/>
      <c r="I496" s="11"/>
      <c r="J496" s="11"/>
      <c r="K496" s="11"/>
      <c r="L496" s="11"/>
      <c r="M496" s="1"/>
      <c r="N496" s="6"/>
      <c r="O496" s="6"/>
      <c r="P496" s="12">
        <f t="shared" si="109"/>
        <v>-1</v>
      </c>
      <c r="Q496" s="12">
        <f t="shared" si="110"/>
        <v>-1</v>
      </c>
      <c r="R496" s="24">
        <f t="shared" si="111"/>
        <v>1</v>
      </c>
      <c r="S496" s="25">
        <f t="shared" si="112"/>
        <v>1</v>
      </c>
      <c r="T496" s="23" t="str">
        <f t="shared" si="113"/>
        <v>To Paid</v>
      </c>
      <c r="U496" s="23"/>
      <c r="V496" s="1"/>
    </row>
    <row r="497" spans="1:22" x14ac:dyDescent="0.3">
      <c r="A497" s="6">
        <v>496</v>
      </c>
      <c r="B497" s="1"/>
      <c r="C497" s="1"/>
      <c r="D497" s="1"/>
      <c r="E497" s="1"/>
      <c r="F497" s="1"/>
      <c r="G497" s="1"/>
      <c r="H497" s="1"/>
      <c r="I497" s="11"/>
      <c r="J497" s="11"/>
      <c r="K497" s="11"/>
      <c r="L497" s="11"/>
      <c r="M497" s="1"/>
      <c r="N497" s="6"/>
      <c r="O497" s="6"/>
      <c r="P497" s="12">
        <f t="shared" si="109"/>
        <v>-1</v>
      </c>
      <c r="Q497" s="12">
        <f t="shared" si="110"/>
        <v>-1</v>
      </c>
      <c r="R497" s="24">
        <f t="shared" si="111"/>
        <v>1</v>
      </c>
      <c r="S497" s="25">
        <f t="shared" si="112"/>
        <v>1</v>
      </c>
      <c r="T497" s="23" t="str">
        <f t="shared" si="113"/>
        <v>To Paid</v>
      </c>
      <c r="U497" s="23"/>
      <c r="V497" s="1"/>
    </row>
    <row r="498" spans="1:22" x14ac:dyDescent="0.3">
      <c r="A498" s="6">
        <v>497</v>
      </c>
      <c r="B498" s="1"/>
      <c r="C498" s="1"/>
      <c r="D498" s="1"/>
      <c r="E498" s="1"/>
      <c r="F498" s="1"/>
      <c r="G498" s="1"/>
      <c r="H498" s="1"/>
      <c r="I498" s="11"/>
      <c r="J498" s="11"/>
      <c r="K498" s="11"/>
      <c r="L498" s="11"/>
      <c r="M498" s="1"/>
      <c r="N498" s="6"/>
      <c r="O498" s="6"/>
      <c r="P498" s="12">
        <f t="shared" si="109"/>
        <v>-1</v>
      </c>
      <c r="Q498" s="12">
        <f t="shared" si="110"/>
        <v>-1</v>
      </c>
      <c r="R498" s="24">
        <f t="shared" si="111"/>
        <v>1</v>
      </c>
      <c r="S498" s="25">
        <f t="shared" si="112"/>
        <v>1</v>
      </c>
      <c r="T498" s="23" t="str">
        <f t="shared" si="113"/>
        <v>To Paid</v>
      </c>
      <c r="U498" s="23"/>
      <c r="V498" s="1"/>
    </row>
    <row r="499" spans="1:22" x14ac:dyDescent="0.3">
      <c r="A499" s="6">
        <v>498</v>
      </c>
      <c r="B499" s="1"/>
      <c r="C499" s="1"/>
      <c r="D499" s="1"/>
      <c r="E499" s="1"/>
      <c r="F499" s="1"/>
      <c r="G499" s="1"/>
      <c r="H499" s="1"/>
      <c r="I499" s="11"/>
      <c r="J499" s="11"/>
      <c r="K499" s="11"/>
      <c r="L499" s="11"/>
      <c r="M499" s="1"/>
      <c r="N499" s="6"/>
      <c r="O499" s="6"/>
      <c r="P499" s="12">
        <f t="shared" si="109"/>
        <v>-1</v>
      </c>
      <c r="Q499" s="12">
        <f t="shared" si="110"/>
        <v>-1</v>
      </c>
      <c r="R499" s="24">
        <f t="shared" si="111"/>
        <v>1</v>
      </c>
      <c r="S499" s="25">
        <f t="shared" si="112"/>
        <v>1</v>
      </c>
      <c r="T499" s="23" t="str">
        <f t="shared" si="113"/>
        <v>To Paid</v>
      </c>
      <c r="U499" s="23"/>
      <c r="V499" s="1"/>
    </row>
    <row r="500" spans="1:22" x14ac:dyDescent="0.3">
      <c r="A500" s="6">
        <v>499</v>
      </c>
      <c r="B500" s="1"/>
      <c r="C500" s="1"/>
      <c r="D500" s="1"/>
      <c r="E500" s="1"/>
      <c r="F500" s="1"/>
      <c r="G500" s="1"/>
      <c r="H500" s="1"/>
      <c r="I500" s="11"/>
      <c r="J500" s="11"/>
      <c r="K500" s="11"/>
      <c r="L500" s="11"/>
      <c r="M500" s="1"/>
      <c r="N500" s="6"/>
      <c r="O500" s="6"/>
      <c r="P500" s="12">
        <f t="shared" si="109"/>
        <v>-1</v>
      </c>
      <c r="Q500" s="12">
        <f t="shared" si="110"/>
        <v>-1</v>
      </c>
      <c r="R500" s="24">
        <f t="shared" si="111"/>
        <v>1</v>
      </c>
      <c r="S500" s="25">
        <f t="shared" si="112"/>
        <v>1</v>
      </c>
      <c r="T500" s="23" t="str">
        <f t="shared" si="113"/>
        <v>To Paid</v>
      </c>
      <c r="U500" s="23"/>
      <c r="V500" s="1"/>
    </row>
    <row r="501" spans="1:22" x14ac:dyDescent="0.3">
      <c r="A501" s="6">
        <v>500</v>
      </c>
      <c r="B501" s="1"/>
      <c r="C501" s="1"/>
      <c r="D501" s="1"/>
      <c r="E501" s="1"/>
      <c r="F501" s="1"/>
      <c r="G501" s="1"/>
      <c r="H501" s="1"/>
      <c r="I501" s="11"/>
      <c r="J501" s="11"/>
      <c r="K501" s="11"/>
      <c r="L501" s="11"/>
      <c r="M501" s="1"/>
      <c r="N501" s="6"/>
      <c r="O501" s="6"/>
      <c r="P501" s="12">
        <f t="shared" si="109"/>
        <v>-1</v>
      </c>
      <c r="Q501" s="12">
        <f t="shared" si="110"/>
        <v>-1</v>
      </c>
      <c r="R501" s="24">
        <f t="shared" si="111"/>
        <v>1</v>
      </c>
      <c r="S501" s="25">
        <f t="shared" si="112"/>
        <v>1</v>
      </c>
      <c r="T501" s="23" t="str">
        <f t="shared" si="113"/>
        <v>To Paid</v>
      </c>
      <c r="U501" s="23"/>
      <c r="V501" s="1"/>
    </row>
    <row r="502" spans="1:22" x14ac:dyDescent="0.3">
      <c r="A502" s="6">
        <v>501</v>
      </c>
      <c r="B502" s="1"/>
      <c r="C502" s="1"/>
      <c r="D502" s="1"/>
      <c r="E502" s="1"/>
      <c r="F502" s="1"/>
      <c r="G502" s="1"/>
      <c r="H502" s="1"/>
      <c r="I502" s="11"/>
      <c r="J502" s="11"/>
      <c r="K502" s="11"/>
      <c r="L502" s="11"/>
      <c r="M502" s="1"/>
      <c r="N502" s="6"/>
      <c r="O502" s="6"/>
      <c r="P502" s="12">
        <f t="shared" si="109"/>
        <v>-1</v>
      </c>
      <c r="Q502" s="12">
        <f t="shared" si="110"/>
        <v>-1</v>
      </c>
      <c r="R502" s="24">
        <f t="shared" si="111"/>
        <v>1</v>
      </c>
      <c r="S502" s="25">
        <f t="shared" si="112"/>
        <v>1</v>
      </c>
      <c r="T502" s="23" t="str">
        <f t="shared" si="113"/>
        <v>To Paid</v>
      </c>
      <c r="U502" s="23"/>
      <c r="V502" s="1"/>
    </row>
    <row r="503" spans="1:22" x14ac:dyDescent="0.3">
      <c r="A503" s="6">
        <v>502</v>
      </c>
      <c r="B503" s="1"/>
      <c r="C503" s="1"/>
      <c r="D503" s="1"/>
      <c r="E503" s="1"/>
      <c r="F503" s="1"/>
      <c r="G503" s="1"/>
      <c r="H503" s="1"/>
      <c r="I503" s="11"/>
      <c r="J503" s="11"/>
      <c r="K503" s="11"/>
      <c r="L503" s="11"/>
      <c r="M503" s="1"/>
      <c r="N503" s="6"/>
      <c r="O503" s="6"/>
      <c r="P503" s="12">
        <f t="shared" ref="P503:P562" si="114">I503+N503-1</f>
        <v>-1</v>
      </c>
      <c r="Q503" s="12">
        <f t="shared" ref="Q503:Q562" si="115">J503+O503-1</f>
        <v>-1</v>
      </c>
      <c r="R503" s="24">
        <f t="shared" ref="R503:R562" si="116">J503-P503</f>
        <v>1</v>
      </c>
      <c r="S503" s="25">
        <f t="shared" ref="S503:S562" si="117">L503-Q503</f>
        <v>1</v>
      </c>
      <c r="T503" s="23" t="str">
        <f t="shared" ref="T503:T562" si="118">IF(R503&gt;0,"To Paid","No")</f>
        <v>To Paid</v>
      </c>
      <c r="U503" s="23"/>
      <c r="V503" s="1"/>
    </row>
    <row r="504" spans="1:22" x14ac:dyDescent="0.3">
      <c r="A504" s="6">
        <v>503</v>
      </c>
      <c r="B504" s="1"/>
      <c r="C504" s="1"/>
      <c r="D504" s="1"/>
      <c r="E504" s="1"/>
      <c r="F504" s="1"/>
      <c r="G504" s="1"/>
      <c r="H504" s="1"/>
      <c r="I504" s="11"/>
      <c r="J504" s="11"/>
      <c r="K504" s="11"/>
      <c r="L504" s="11"/>
      <c r="M504" s="1"/>
      <c r="N504" s="6"/>
      <c r="O504" s="6"/>
      <c r="P504" s="12">
        <f t="shared" si="114"/>
        <v>-1</v>
      </c>
      <c r="Q504" s="12">
        <f t="shared" si="115"/>
        <v>-1</v>
      </c>
      <c r="R504" s="24">
        <f t="shared" si="116"/>
        <v>1</v>
      </c>
      <c r="S504" s="25">
        <f t="shared" si="117"/>
        <v>1</v>
      </c>
      <c r="T504" s="23" t="str">
        <f t="shared" si="118"/>
        <v>To Paid</v>
      </c>
      <c r="U504" s="23"/>
      <c r="V504" s="1"/>
    </row>
    <row r="505" spans="1:22" x14ac:dyDescent="0.3">
      <c r="A505" s="6">
        <v>504</v>
      </c>
      <c r="B505" s="1"/>
      <c r="C505" s="1"/>
      <c r="D505" s="1"/>
      <c r="E505" s="1"/>
      <c r="F505" s="1"/>
      <c r="G505" s="1"/>
      <c r="H505" s="1"/>
      <c r="I505" s="11"/>
      <c r="J505" s="11"/>
      <c r="K505" s="11"/>
      <c r="L505" s="11"/>
      <c r="M505" s="1"/>
      <c r="N505" s="6"/>
      <c r="O505" s="6"/>
      <c r="P505" s="12">
        <f t="shared" si="114"/>
        <v>-1</v>
      </c>
      <c r="Q505" s="12">
        <f t="shared" si="115"/>
        <v>-1</v>
      </c>
      <c r="R505" s="24">
        <f t="shared" si="116"/>
        <v>1</v>
      </c>
      <c r="S505" s="25">
        <f t="shared" si="117"/>
        <v>1</v>
      </c>
      <c r="T505" s="23" t="str">
        <f t="shared" si="118"/>
        <v>To Paid</v>
      </c>
      <c r="U505" s="23"/>
      <c r="V505" s="1"/>
    </row>
    <row r="506" spans="1:22" x14ac:dyDescent="0.3">
      <c r="A506" s="6">
        <v>505</v>
      </c>
      <c r="B506" s="1"/>
      <c r="C506" s="1"/>
      <c r="D506" s="1"/>
      <c r="E506" s="1"/>
      <c r="F506" s="1"/>
      <c r="G506" s="1"/>
      <c r="H506" s="1"/>
      <c r="I506" s="11"/>
      <c r="J506" s="11"/>
      <c r="K506" s="11"/>
      <c r="L506" s="11"/>
      <c r="M506" s="1"/>
      <c r="N506" s="6"/>
      <c r="O506" s="6"/>
      <c r="P506" s="12">
        <f t="shared" si="114"/>
        <v>-1</v>
      </c>
      <c r="Q506" s="12">
        <f t="shared" si="115"/>
        <v>-1</v>
      </c>
      <c r="R506" s="24">
        <f t="shared" si="116"/>
        <v>1</v>
      </c>
      <c r="S506" s="25">
        <f t="shared" si="117"/>
        <v>1</v>
      </c>
      <c r="T506" s="23" t="str">
        <f t="shared" si="118"/>
        <v>To Paid</v>
      </c>
      <c r="U506" s="23"/>
      <c r="V506" s="1"/>
    </row>
    <row r="507" spans="1:22" x14ac:dyDescent="0.3">
      <c r="A507" s="6">
        <v>506</v>
      </c>
      <c r="B507" s="1"/>
      <c r="C507" s="1"/>
      <c r="D507" s="1"/>
      <c r="E507" s="1"/>
      <c r="F507" s="1"/>
      <c r="G507" s="1"/>
      <c r="H507" s="1"/>
      <c r="I507" s="11"/>
      <c r="J507" s="11"/>
      <c r="K507" s="11"/>
      <c r="L507" s="11"/>
      <c r="M507" s="1"/>
      <c r="N507" s="6"/>
      <c r="O507" s="6"/>
      <c r="P507" s="12">
        <f t="shared" si="114"/>
        <v>-1</v>
      </c>
      <c r="Q507" s="12">
        <f t="shared" si="115"/>
        <v>-1</v>
      </c>
      <c r="R507" s="24">
        <f t="shared" si="116"/>
        <v>1</v>
      </c>
      <c r="S507" s="25">
        <f t="shared" si="117"/>
        <v>1</v>
      </c>
      <c r="T507" s="23" t="str">
        <f t="shared" si="118"/>
        <v>To Paid</v>
      </c>
      <c r="U507" s="23"/>
      <c r="V507" s="1"/>
    </row>
    <row r="508" spans="1:22" x14ac:dyDescent="0.3">
      <c r="A508" s="6">
        <v>507</v>
      </c>
      <c r="B508" s="1"/>
      <c r="C508" s="1"/>
      <c r="D508" s="1"/>
      <c r="E508" s="1"/>
      <c r="F508" s="1"/>
      <c r="G508" s="1"/>
      <c r="H508" s="1"/>
      <c r="I508" s="11"/>
      <c r="J508" s="11"/>
      <c r="K508" s="11"/>
      <c r="L508" s="11"/>
      <c r="M508" s="1"/>
      <c r="N508" s="6"/>
      <c r="O508" s="6"/>
      <c r="P508" s="12">
        <f t="shared" si="114"/>
        <v>-1</v>
      </c>
      <c r="Q508" s="12">
        <f t="shared" si="115"/>
        <v>-1</v>
      </c>
      <c r="R508" s="24">
        <f t="shared" si="116"/>
        <v>1</v>
      </c>
      <c r="S508" s="25">
        <f t="shared" si="117"/>
        <v>1</v>
      </c>
      <c r="T508" s="23" t="str">
        <f t="shared" si="118"/>
        <v>To Paid</v>
      </c>
      <c r="U508" s="23"/>
      <c r="V508" s="1"/>
    </row>
    <row r="509" spans="1:22" x14ac:dyDescent="0.3">
      <c r="A509" s="6">
        <v>508</v>
      </c>
      <c r="B509" s="1"/>
      <c r="C509" s="1"/>
      <c r="D509" s="1"/>
      <c r="E509" s="1"/>
      <c r="F509" s="1"/>
      <c r="G509" s="1"/>
      <c r="H509" s="1"/>
      <c r="I509" s="11"/>
      <c r="J509" s="11"/>
      <c r="K509" s="11"/>
      <c r="L509" s="11"/>
      <c r="M509" s="1"/>
      <c r="N509" s="6"/>
      <c r="O509" s="6"/>
      <c r="P509" s="12">
        <f t="shared" si="114"/>
        <v>-1</v>
      </c>
      <c r="Q509" s="12">
        <f t="shared" si="115"/>
        <v>-1</v>
      </c>
      <c r="R509" s="24">
        <f t="shared" si="116"/>
        <v>1</v>
      </c>
      <c r="S509" s="25">
        <f t="shared" si="117"/>
        <v>1</v>
      </c>
      <c r="T509" s="23" t="str">
        <f t="shared" si="118"/>
        <v>To Paid</v>
      </c>
      <c r="U509" s="23"/>
      <c r="V509" s="1"/>
    </row>
    <row r="510" spans="1:22" x14ac:dyDescent="0.3">
      <c r="A510" s="6">
        <v>509</v>
      </c>
      <c r="B510" s="1"/>
      <c r="C510" s="1"/>
      <c r="D510" s="1"/>
      <c r="E510" s="1"/>
      <c r="F510" s="1"/>
      <c r="G510" s="1"/>
      <c r="H510" s="1"/>
      <c r="I510" s="11"/>
      <c r="J510" s="11"/>
      <c r="K510" s="11"/>
      <c r="L510" s="11"/>
      <c r="M510" s="1"/>
      <c r="N510" s="6"/>
      <c r="O510" s="6"/>
      <c r="P510" s="12">
        <f t="shared" si="114"/>
        <v>-1</v>
      </c>
      <c r="Q510" s="12">
        <f t="shared" si="115"/>
        <v>-1</v>
      </c>
      <c r="R510" s="24">
        <f t="shared" si="116"/>
        <v>1</v>
      </c>
      <c r="S510" s="25">
        <f t="shared" si="117"/>
        <v>1</v>
      </c>
      <c r="T510" s="23" t="str">
        <f t="shared" si="118"/>
        <v>To Paid</v>
      </c>
      <c r="U510" s="23"/>
      <c r="V510" s="1"/>
    </row>
    <row r="511" spans="1:22" x14ac:dyDescent="0.3">
      <c r="A511" s="6">
        <v>510</v>
      </c>
      <c r="B511" s="1"/>
      <c r="C511" s="1"/>
      <c r="D511" s="1"/>
      <c r="E511" s="1"/>
      <c r="F511" s="1"/>
      <c r="G511" s="1"/>
      <c r="H511" s="1"/>
      <c r="I511" s="11"/>
      <c r="J511" s="11"/>
      <c r="K511" s="11"/>
      <c r="L511" s="11"/>
      <c r="M511" s="1"/>
      <c r="N511" s="6"/>
      <c r="O511" s="6"/>
      <c r="P511" s="12">
        <f t="shared" si="114"/>
        <v>-1</v>
      </c>
      <c r="Q511" s="12">
        <f t="shared" si="115"/>
        <v>-1</v>
      </c>
      <c r="R511" s="24">
        <f t="shared" si="116"/>
        <v>1</v>
      </c>
      <c r="S511" s="25">
        <f t="shared" si="117"/>
        <v>1</v>
      </c>
      <c r="T511" s="23" t="str">
        <f t="shared" si="118"/>
        <v>To Paid</v>
      </c>
      <c r="U511" s="23"/>
      <c r="V511" s="1"/>
    </row>
    <row r="512" spans="1:22" x14ac:dyDescent="0.3">
      <c r="A512" s="6">
        <v>511</v>
      </c>
      <c r="B512" s="1"/>
      <c r="C512" s="1"/>
      <c r="D512" s="1"/>
      <c r="E512" s="1"/>
      <c r="F512" s="1"/>
      <c r="G512" s="1"/>
      <c r="H512" s="1"/>
      <c r="I512" s="11"/>
      <c r="J512" s="11"/>
      <c r="K512" s="11"/>
      <c r="L512" s="11"/>
      <c r="M512" s="1"/>
      <c r="N512" s="6"/>
      <c r="O512" s="6"/>
      <c r="P512" s="12">
        <f t="shared" si="114"/>
        <v>-1</v>
      </c>
      <c r="Q512" s="12">
        <f t="shared" si="115"/>
        <v>-1</v>
      </c>
      <c r="R512" s="24">
        <f t="shared" si="116"/>
        <v>1</v>
      </c>
      <c r="S512" s="25">
        <f t="shared" si="117"/>
        <v>1</v>
      </c>
      <c r="T512" s="23" t="str">
        <f t="shared" si="118"/>
        <v>To Paid</v>
      </c>
      <c r="U512" s="23"/>
      <c r="V512" s="1"/>
    </row>
    <row r="513" spans="1:22" x14ac:dyDescent="0.3">
      <c r="A513" s="6">
        <v>512</v>
      </c>
      <c r="B513" s="1"/>
      <c r="C513" s="1"/>
      <c r="D513" s="1"/>
      <c r="E513" s="1"/>
      <c r="F513" s="1"/>
      <c r="G513" s="1"/>
      <c r="H513" s="1"/>
      <c r="I513" s="11"/>
      <c r="J513" s="11"/>
      <c r="K513" s="11"/>
      <c r="L513" s="11"/>
      <c r="M513" s="1"/>
      <c r="N513" s="6"/>
      <c r="O513" s="6"/>
      <c r="P513" s="12">
        <f t="shared" si="114"/>
        <v>-1</v>
      </c>
      <c r="Q513" s="12">
        <f t="shared" si="115"/>
        <v>-1</v>
      </c>
      <c r="R513" s="24">
        <f t="shared" si="116"/>
        <v>1</v>
      </c>
      <c r="S513" s="25">
        <f t="shared" si="117"/>
        <v>1</v>
      </c>
      <c r="T513" s="23" t="str">
        <f t="shared" si="118"/>
        <v>To Paid</v>
      </c>
      <c r="U513" s="23"/>
      <c r="V513" s="1"/>
    </row>
    <row r="514" spans="1:22" x14ac:dyDescent="0.3">
      <c r="A514" s="6">
        <v>513</v>
      </c>
      <c r="B514" s="1"/>
      <c r="C514" s="1"/>
      <c r="D514" s="1"/>
      <c r="E514" s="1"/>
      <c r="F514" s="1"/>
      <c r="G514" s="1"/>
      <c r="H514" s="1"/>
      <c r="I514" s="11"/>
      <c r="J514" s="11"/>
      <c r="K514" s="11"/>
      <c r="L514" s="11"/>
      <c r="M514" s="1"/>
      <c r="N514" s="6"/>
      <c r="O514" s="6"/>
      <c r="P514" s="12">
        <f t="shared" si="114"/>
        <v>-1</v>
      </c>
      <c r="Q514" s="12">
        <f t="shared" si="115"/>
        <v>-1</v>
      </c>
      <c r="R514" s="24">
        <f t="shared" si="116"/>
        <v>1</v>
      </c>
      <c r="S514" s="25">
        <f t="shared" si="117"/>
        <v>1</v>
      </c>
      <c r="T514" s="23" t="str">
        <f t="shared" si="118"/>
        <v>To Paid</v>
      </c>
      <c r="U514" s="23"/>
      <c r="V514" s="1"/>
    </row>
    <row r="515" spans="1:22" x14ac:dyDescent="0.3">
      <c r="A515" s="6">
        <v>514</v>
      </c>
      <c r="B515" s="1"/>
      <c r="C515" s="1"/>
      <c r="D515" s="1"/>
      <c r="E515" s="1"/>
      <c r="F515" s="1"/>
      <c r="G515" s="1"/>
      <c r="H515" s="1"/>
      <c r="I515" s="11"/>
      <c r="J515" s="11"/>
      <c r="K515" s="11"/>
      <c r="L515" s="11"/>
      <c r="M515" s="1"/>
      <c r="N515" s="6"/>
      <c r="O515" s="6"/>
      <c r="P515" s="12">
        <f t="shared" si="114"/>
        <v>-1</v>
      </c>
      <c r="Q515" s="12">
        <f t="shared" si="115"/>
        <v>-1</v>
      </c>
      <c r="R515" s="24">
        <f t="shared" si="116"/>
        <v>1</v>
      </c>
      <c r="S515" s="25">
        <f t="shared" si="117"/>
        <v>1</v>
      </c>
      <c r="T515" s="23" t="str">
        <f t="shared" si="118"/>
        <v>To Paid</v>
      </c>
      <c r="U515" s="23"/>
      <c r="V515" s="1"/>
    </row>
    <row r="516" spans="1:22" x14ac:dyDescent="0.3">
      <c r="A516" s="6">
        <v>515</v>
      </c>
      <c r="B516" s="1"/>
      <c r="C516" s="1"/>
      <c r="D516" s="1"/>
      <c r="E516" s="1"/>
      <c r="F516" s="1"/>
      <c r="G516" s="1"/>
      <c r="H516" s="1"/>
      <c r="I516" s="11"/>
      <c r="J516" s="11"/>
      <c r="K516" s="11"/>
      <c r="L516" s="11"/>
      <c r="M516" s="1"/>
      <c r="N516" s="6"/>
      <c r="O516" s="6"/>
      <c r="P516" s="12">
        <f t="shared" si="114"/>
        <v>-1</v>
      </c>
      <c r="Q516" s="12">
        <f t="shared" si="115"/>
        <v>-1</v>
      </c>
      <c r="R516" s="24">
        <f t="shared" si="116"/>
        <v>1</v>
      </c>
      <c r="S516" s="25">
        <f t="shared" si="117"/>
        <v>1</v>
      </c>
      <c r="T516" s="23" t="str">
        <f t="shared" si="118"/>
        <v>To Paid</v>
      </c>
      <c r="U516" s="23"/>
      <c r="V516" s="1"/>
    </row>
    <row r="517" spans="1:22" x14ac:dyDescent="0.3">
      <c r="A517" s="6">
        <v>516</v>
      </c>
      <c r="B517" s="1"/>
      <c r="C517" s="1"/>
      <c r="D517" s="1"/>
      <c r="E517" s="1"/>
      <c r="F517" s="1"/>
      <c r="G517" s="1"/>
      <c r="H517" s="1"/>
      <c r="I517" s="11"/>
      <c r="J517" s="11"/>
      <c r="K517" s="11"/>
      <c r="L517" s="11"/>
      <c r="M517" s="1"/>
      <c r="N517" s="6"/>
      <c r="O517" s="6"/>
      <c r="P517" s="12">
        <f t="shared" si="114"/>
        <v>-1</v>
      </c>
      <c r="Q517" s="12">
        <f t="shared" si="115"/>
        <v>-1</v>
      </c>
      <c r="R517" s="24">
        <f t="shared" si="116"/>
        <v>1</v>
      </c>
      <c r="S517" s="25">
        <f t="shared" si="117"/>
        <v>1</v>
      </c>
      <c r="T517" s="23" t="str">
        <f t="shared" si="118"/>
        <v>To Paid</v>
      </c>
      <c r="U517" s="23"/>
      <c r="V517" s="1"/>
    </row>
    <row r="518" spans="1:22" x14ac:dyDescent="0.3">
      <c r="A518" s="6">
        <v>517</v>
      </c>
      <c r="B518" s="1"/>
      <c r="C518" s="1"/>
      <c r="D518" s="1"/>
      <c r="E518" s="1"/>
      <c r="F518" s="1"/>
      <c r="G518" s="1"/>
      <c r="H518" s="1"/>
      <c r="I518" s="11"/>
      <c r="J518" s="11"/>
      <c r="K518" s="11"/>
      <c r="L518" s="11"/>
      <c r="M518" s="1"/>
      <c r="N518" s="6"/>
      <c r="O518" s="6"/>
      <c r="P518" s="12">
        <f t="shared" si="114"/>
        <v>-1</v>
      </c>
      <c r="Q518" s="12">
        <f t="shared" si="115"/>
        <v>-1</v>
      </c>
      <c r="R518" s="24">
        <f t="shared" si="116"/>
        <v>1</v>
      </c>
      <c r="S518" s="25">
        <f t="shared" si="117"/>
        <v>1</v>
      </c>
      <c r="T518" s="23" t="str">
        <f t="shared" si="118"/>
        <v>To Paid</v>
      </c>
      <c r="U518" s="23"/>
      <c r="V518" s="1"/>
    </row>
    <row r="519" spans="1:22" x14ac:dyDescent="0.3">
      <c r="A519" s="6">
        <v>518</v>
      </c>
      <c r="B519" s="1"/>
      <c r="C519" s="1"/>
      <c r="D519" s="1"/>
      <c r="E519" s="1"/>
      <c r="F519" s="1"/>
      <c r="G519" s="1"/>
      <c r="H519" s="1"/>
      <c r="I519" s="11"/>
      <c r="J519" s="11"/>
      <c r="K519" s="11"/>
      <c r="L519" s="11"/>
      <c r="M519" s="1"/>
      <c r="N519" s="6"/>
      <c r="O519" s="6"/>
      <c r="P519" s="12">
        <f t="shared" si="114"/>
        <v>-1</v>
      </c>
      <c r="Q519" s="12">
        <f t="shared" si="115"/>
        <v>-1</v>
      </c>
      <c r="R519" s="24">
        <f t="shared" si="116"/>
        <v>1</v>
      </c>
      <c r="S519" s="25">
        <f t="shared" si="117"/>
        <v>1</v>
      </c>
      <c r="T519" s="23" t="str">
        <f t="shared" si="118"/>
        <v>To Paid</v>
      </c>
      <c r="U519" s="23"/>
      <c r="V519" s="1"/>
    </row>
    <row r="520" spans="1:22" x14ac:dyDescent="0.3">
      <c r="A520" s="6">
        <v>519</v>
      </c>
      <c r="B520" s="1"/>
      <c r="C520" s="1"/>
      <c r="D520" s="1"/>
      <c r="E520" s="1"/>
      <c r="F520" s="1"/>
      <c r="G520" s="1"/>
      <c r="H520" s="1"/>
      <c r="I520" s="11"/>
      <c r="J520" s="11"/>
      <c r="K520" s="11"/>
      <c r="L520" s="11"/>
      <c r="M520" s="1"/>
      <c r="N520" s="6"/>
      <c r="O520" s="6"/>
      <c r="P520" s="12">
        <f t="shared" si="114"/>
        <v>-1</v>
      </c>
      <c r="Q520" s="12">
        <f t="shared" si="115"/>
        <v>-1</v>
      </c>
      <c r="R520" s="24">
        <f t="shared" si="116"/>
        <v>1</v>
      </c>
      <c r="S520" s="25">
        <f t="shared" si="117"/>
        <v>1</v>
      </c>
      <c r="T520" s="23" t="str">
        <f t="shared" si="118"/>
        <v>To Paid</v>
      </c>
      <c r="U520" s="23"/>
      <c r="V520" s="1"/>
    </row>
    <row r="521" spans="1:22" x14ac:dyDescent="0.3">
      <c r="A521" s="6">
        <v>520</v>
      </c>
      <c r="B521" s="1"/>
      <c r="C521" s="1"/>
      <c r="D521" s="1"/>
      <c r="E521" s="1"/>
      <c r="F521" s="1"/>
      <c r="G521" s="1"/>
      <c r="H521" s="1"/>
      <c r="I521" s="11"/>
      <c r="J521" s="11"/>
      <c r="K521" s="11"/>
      <c r="L521" s="11"/>
      <c r="M521" s="1"/>
      <c r="N521" s="6"/>
      <c r="O521" s="6"/>
      <c r="P521" s="12">
        <f t="shared" si="114"/>
        <v>-1</v>
      </c>
      <c r="Q521" s="12">
        <f t="shared" si="115"/>
        <v>-1</v>
      </c>
      <c r="R521" s="24">
        <f t="shared" si="116"/>
        <v>1</v>
      </c>
      <c r="S521" s="25">
        <f t="shared" si="117"/>
        <v>1</v>
      </c>
      <c r="T521" s="23" t="str">
        <f t="shared" si="118"/>
        <v>To Paid</v>
      </c>
      <c r="U521" s="23"/>
      <c r="V521" s="1"/>
    </row>
    <row r="522" spans="1:22" x14ac:dyDescent="0.3">
      <c r="A522" s="6">
        <v>521</v>
      </c>
      <c r="B522" s="1"/>
      <c r="C522" s="1"/>
      <c r="D522" s="1"/>
      <c r="E522" s="1"/>
      <c r="F522" s="1"/>
      <c r="G522" s="1"/>
      <c r="H522" s="1"/>
      <c r="I522" s="11"/>
      <c r="J522" s="11"/>
      <c r="K522" s="11"/>
      <c r="L522" s="11"/>
      <c r="M522" s="1"/>
      <c r="N522" s="6"/>
      <c r="O522" s="6"/>
      <c r="P522" s="12">
        <f t="shared" si="114"/>
        <v>-1</v>
      </c>
      <c r="Q522" s="12">
        <f t="shared" si="115"/>
        <v>-1</v>
      </c>
      <c r="R522" s="24">
        <f t="shared" si="116"/>
        <v>1</v>
      </c>
      <c r="S522" s="25">
        <f t="shared" si="117"/>
        <v>1</v>
      </c>
      <c r="T522" s="23" t="str">
        <f t="shared" si="118"/>
        <v>To Paid</v>
      </c>
      <c r="U522" s="23"/>
      <c r="V522" s="1"/>
    </row>
    <row r="523" spans="1:22" x14ac:dyDescent="0.3">
      <c r="A523" s="6">
        <v>522</v>
      </c>
      <c r="B523" s="1"/>
      <c r="C523" s="1"/>
      <c r="D523" s="1"/>
      <c r="E523" s="1"/>
      <c r="F523" s="1"/>
      <c r="G523" s="1"/>
      <c r="H523" s="1"/>
      <c r="I523" s="11"/>
      <c r="J523" s="11"/>
      <c r="K523" s="11"/>
      <c r="L523" s="11"/>
      <c r="M523" s="1"/>
      <c r="N523" s="6"/>
      <c r="O523" s="6"/>
      <c r="P523" s="12">
        <f t="shared" si="114"/>
        <v>-1</v>
      </c>
      <c r="Q523" s="12">
        <f t="shared" si="115"/>
        <v>-1</v>
      </c>
      <c r="R523" s="24">
        <f t="shared" si="116"/>
        <v>1</v>
      </c>
      <c r="S523" s="25">
        <f t="shared" si="117"/>
        <v>1</v>
      </c>
      <c r="T523" s="23" t="str">
        <f t="shared" si="118"/>
        <v>To Paid</v>
      </c>
      <c r="U523" s="23"/>
      <c r="V523" s="1"/>
    </row>
    <row r="524" spans="1:22" x14ac:dyDescent="0.3">
      <c r="A524" s="6">
        <v>523</v>
      </c>
      <c r="B524" s="1"/>
      <c r="C524" s="1"/>
      <c r="D524" s="1"/>
      <c r="E524" s="1"/>
      <c r="F524" s="1"/>
      <c r="G524" s="1"/>
      <c r="H524" s="1"/>
      <c r="I524" s="11"/>
      <c r="J524" s="11"/>
      <c r="K524" s="11"/>
      <c r="L524" s="11"/>
      <c r="M524" s="1"/>
      <c r="N524" s="6"/>
      <c r="O524" s="6"/>
      <c r="P524" s="12">
        <f t="shared" si="114"/>
        <v>-1</v>
      </c>
      <c r="Q524" s="12">
        <f t="shared" si="115"/>
        <v>-1</v>
      </c>
      <c r="R524" s="24">
        <f t="shared" si="116"/>
        <v>1</v>
      </c>
      <c r="S524" s="25">
        <f t="shared" si="117"/>
        <v>1</v>
      </c>
      <c r="T524" s="23" t="str">
        <f t="shared" si="118"/>
        <v>To Paid</v>
      </c>
      <c r="U524" s="23"/>
      <c r="V524" s="1"/>
    </row>
    <row r="525" spans="1:22" x14ac:dyDescent="0.3">
      <c r="A525" s="6">
        <v>524</v>
      </c>
      <c r="B525" s="1"/>
      <c r="C525" s="1"/>
      <c r="D525" s="1"/>
      <c r="E525" s="1"/>
      <c r="F525" s="1"/>
      <c r="G525" s="1"/>
      <c r="H525" s="1"/>
      <c r="I525" s="11"/>
      <c r="J525" s="11"/>
      <c r="K525" s="11"/>
      <c r="L525" s="11"/>
      <c r="M525" s="1"/>
      <c r="N525" s="6"/>
      <c r="O525" s="6"/>
      <c r="P525" s="12">
        <f t="shared" si="114"/>
        <v>-1</v>
      </c>
      <c r="Q525" s="12">
        <f t="shared" si="115"/>
        <v>-1</v>
      </c>
      <c r="R525" s="24">
        <f t="shared" si="116"/>
        <v>1</v>
      </c>
      <c r="S525" s="25">
        <f t="shared" si="117"/>
        <v>1</v>
      </c>
      <c r="T525" s="23" t="str">
        <f t="shared" si="118"/>
        <v>To Paid</v>
      </c>
      <c r="U525" s="23"/>
      <c r="V525" s="1"/>
    </row>
    <row r="526" spans="1:22" x14ac:dyDescent="0.3">
      <c r="A526" s="6">
        <v>525</v>
      </c>
      <c r="B526" s="1"/>
      <c r="C526" s="1"/>
      <c r="D526" s="1"/>
      <c r="E526" s="1"/>
      <c r="F526" s="1"/>
      <c r="G526" s="1"/>
      <c r="H526" s="1"/>
      <c r="I526" s="11"/>
      <c r="J526" s="11"/>
      <c r="K526" s="11"/>
      <c r="L526" s="11"/>
      <c r="M526" s="1"/>
      <c r="N526" s="6"/>
      <c r="O526" s="6"/>
      <c r="P526" s="12">
        <f t="shared" si="114"/>
        <v>-1</v>
      </c>
      <c r="Q526" s="12">
        <f t="shared" si="115"/>
        <v>-1</v>
      </c>
      <c r="R526" s="24">
        <f t="shared" si="116"/>
        <v>1</v>
      </c>
      <c r="S526" s="25">
        <f t="shared" si="117"/>
        <v>1</v>
      </c>
      <c r="T526" s="23" t="str">
        <f t="shared" si="118"/>
        <v>To Paid</v>
      </c>
      <c r="U526" s="23"/>
      <c r="V526" s="1"/>
    </row>
    <row r="527" spans="1:22" x14ac:dyDescent="0.3">
      <c r="A527" s="6">
        <v>526</v>
      </c>
      <c r="B527" s="1"/>
      <c r="C527" s="1"/>
      <c r="D527" s="1"/>
      <c r="E527" s="1"/>
      <c r="F527" s="1"/>
      <c r="G527" s="1"/>
      <c r="H527" s="1"/>
      <c r="I527" s="11"/>
      <c r="J527" s="11"/>
      <c r="K527" s="11"/>
      <c r="L527" s="11"/>
      <c r="M527" s="1"/>
      <c r="N527" s="6"/>
      <c r="O527" s="6"/>
      <c r="P527" s="12">
        <f t="shared" si="114"/>
        <v>-1</v>
      </c>
      <c r="Q527" s="12">
        <f t="shared" si="115"/>
        <v>-1</v>
      </c>
      <c r="R527" s="24">
        <f t="shared" si="116"/>
        <v>1</v>
      </c>
      <c r="S527" s="25">
        <f t="shared" si="117"/>
        <v>1</v>
      </c>
      <c r="T527" s="23" t="str">
        <f t="shared" si="118"/>
        <v>To Paid</v>
      </c>
      <c r="U527" s="23"/>
      <c r="V527" s="1"/>
    </row>
    <row r="528" spans="1:22" x14ac:dyDescent="0.3">
      <c r="A528" s="6">
        <v>527</v>
      </c>
      <c r="B528" s="1"/>
      <c r="C528" s="1"/>
      <c r="D528" s="1"/>
      <c r="E528" s="1"/>
      <c r="F528" s="1"/>
      <c r="G528" s="1"/>
      <c r="H528" s="1"/>
      <c r="I528" s="11"/>
      <c r="J528" s="11"/>
      <c r="K528" s="11"/>
      <c r="L528" s="11"/>
      <c r="M528" s="1"/>
      <c r="N528" s="6"/>
      <c r="O528" s="6"/>
      <c r="P528" s="12">
        <f t="shared" si="114"/>
        <v>-1</v>
      </c>
      <c r="Q528" s="12">
        <f t="shared" si="115"/>
        <v>-1</v>
      </c>
      <c r="R528" s="24">
        <f t="shared" si="116"/>
        <v>1</v>
      </c>
      <c r="S528" s="25">
        <f t="shared" si="117"/>
        <v>1</v>
      </c>
      <c r="T528" s="23" t="str">
        <f t="shared" si="118"/>
        <v>To Paid</v>
      </c>
      <c r="U528" s="23"/>
      <c r="V528" s="1"/>
    </row>
    <row r="529" spans="1:22" x14ac:dyDescent="0.3">
      <c r="A529" s="6">
        <v>528</v>
      </c>
      <c r="B529" s="1"/>
      <c r="C529" s="1"/>
      <c r="D529" s="1"/>
      <c r="E529" s="1"/>
      <c r="F529" s="1"/>
      <c r="G529" s="1"/>
      <c r="H529" s="1"/>
      <c r="I529" s="11"/>
      <c r="J529" s="11"/>
      <c r="K529" s="11"/>
      <c r="L529" s="11"/>
      <c r="M529" s="1"/>
      <c r="N529" s="6"/>
      <c r="O529" s="6"/>
      <c r="P529" s="12">
        <f t="shared" si="114"/>
        <v>-1</v>
      </c>
      <c r="Q529" s="12">
        <f t="shared" si="115"/>
        <v>-1</v>
      </c>
      <c r="R529" s="24">
        <f t="shared" si="116"/>
        <v>1</v>
      </c>
      <c r="S529" s="25">
        <f t="shared" si="117"/>
        <v>1</v>
      </c>
      <c r="T529" s="23" t="str">
        <f t="shared" si="118"/>
        <v>To Paid</v>
      </c>
      <c r="U529" s="23"/>
      <c r="V529" s="1"/>
    </row>
    <row r="530" spans="1:22" x14ac:dyDescent="0.3">
      <c r="A530" s="6">
        <v>529</v>
      </c>
      <c r="B530" s="1"/>
      <c r="C530" s="1"/>
      <c r="D530" s="1"/>
      <c r="E530" s="1"/>
      <c r="F530" s="1"/>
      <c r="G530" s="1"/>
      <c r="H530" s="1"/>
      <c r="I530" s="11"/>
      <c r="J530" s="11"/>
      <c r="K530" s="11"/>
      <c r="L530" s="11"/>
      <c r="M530" s="1"/>
      <c r="N530" s="6"/>
      <c r="O530" s="6"/>
      <c r="P530" s="12">
        <f t="shared" si="114"/>
        <v>-1</v>
      </c>
      <c r="Q530" s="12">
        <f t="shared" si="115"/>
        <v>-1</v>
      </c>
      <c r="R530" s="24">
        <f t="shared" si="116"/>
        <v>1</v>
      </c>
      <c r="S530" s="25">
        <f t="shared" si="117"/>
        <v>1</v>
      </c>
      <c r="T530" s="23" t="str">
        <f t="shared" si="118"/>
        <v>To Paid</v>
      </c>
      <c r="U530" s="23"/>
      <c r="V530" s="1"/>
    </row>
    <row r="531" spans="1:22" x14ac:dyDescent="0.3">
      <c r="A531" s="6">
        <v>530</v>
      </c>
      <c r="B531" s="1"/>
      <c r="C531" s="1"/>
      <c r="D531" s="1"/>
      <c r="E531" s="1"/>
      <c r="F531" s="1"/>
      <c r="G531" s="1"/>
      <c r="H531" s="1"/>
      <c r="I531" s="11"/>
      <c r="J531" s="11"/>
      <c r="K531" s="11"/>
      <c r="L531" s="11"/>
      <c r="M531" s="1"/>
      <c r="N531" s="6"/>
      <c r="O531" s="6"/>
      <c r="P531" s="12">
        <f t="shared" si="114"/>
        <v>-1</v>
      </c>
      <c r="Q531" s="12">
        <f t="shared" si="115"/>
        <v>-1</v>
      </c>
      <c r="R531" s="24">
        <f t="shared" si="116"/>
        <v>1</v>
      </c>
      <c r="S531" s="25">
        <f t="shared" si="117"/>
        <v>1</v>
      </c>
      <c r="T531" s="23" t="str">
        <f t="shared" si="118"/>
        <v>To Paid</v>
      </c>
      <c r="U531" s="23"/>
      <c r="V531" s="1"/>
    </row>
    <row r="532" spans="1:22" x14ac:dyDescent="0.3">
      <c r="A532" s="6">
        <v>531</v>
      </c>
      <c r="B532" s="1"/>
      <c r="C532" s="1"/>
      <c r="D532" s="1"/>
      <c r="E532" s="1"/>
      <c r="F532" s="1"/>
      <c r="G532" s="1"/>
      <c r="H532" s="1"/>
      <c r="I532" s="11"/>
      <c r="J532" s="11"/>
      <c r="K532" s="11"/>
      <c r="L532" s="11"/>
      <c r="M532" s="1"/>
      <c r="N532" s="6"/>
      <c r="O532" s="6"/>
      <c r="P532" s="12">
        <f t="shared" si="114"/>
        <v>-1</v>
      </c>
      <c r="Q532" s="12">
        <f t="shared" si="115"/>
        <v>-1</v>
      </c>
      <c r="R532" s="24">
        <f t="shared" si="116"/>
        <v>1</v>
      </c>
      <c r="S532" s="25">
        <f t="shared" si="117"/>
        <v>1</v>
      </c>
      <c r="T532" s="23" t="str">
        <f t="shared" si="118"/>
        <v>To Paid</v>
      </c>
      <c r="U532" s="23"/>
      <c r="V532" s="1"/>
    </row>
    <row r="533" spans="1:22" x14ac:dyDescent="0.3">
      <c r="A533" s="6">
        <v>532</v>
      </c>
      <c r="B533" s="1"/>
      <c r="C533" s="1"/>
      <c r="D533" s="1"/>
      <c r="E533" s="1"/>
      <c r="F533" s="1"/>
      <c r="G533" s="1"/>
      <c r="H533" s="1"/>
      <c r="I533" s="11"/>
      <c r="J533" s="11"/>
      <c r="K533" s="11"/>
      <c r="L533" s="11"/>
      <c r="M533" s="1"/>
      <c r="N533" s="6"/>
      <c r="O533" s="6"/>
      <c r="P533" s="12">
        <f t="shared" si="114"/>
        <v>-1</v>
      </c>
      <c r="Q533" s="12">
        <f t="shared" si="115"/>
        <v>-1</v>
      </c>
      <c r="R533" s="24">
        <f t="shared" si="116"/>
        <v>1</v>
      </c>
      <c r="S533" s="25">
        <f t="shared" si="117"/>
        <v>1</v>
      </c>
      <c r="T533" s="23" t="str">
        <f t="shared" si="118"/>
        <v>To Paid</v>
      </c>
      <c r="U533" s="23"/>
      <c r="V533" s="1"/>
    </row>
    <row r="534" spans="1:22" x14ac:dyDescent="0.3">
      <c r="A534" s="6">
        <v>533</v>
      </c>
      <c r="B534" s="1"/>
      <c r="C534" s="1"/>
      <c r="D534" s="1"/>
      <c r="E534" s="1"/>
      <c r="F534" s="1"/>
      <c r="G534" s="1"/>
      <c r="H534" s="1"/>
      <c r="I534" s="11"/>
      <c r="J534" s="11"/>
      <c r="K534" s="11"/>
      <c r="L534" s="11"/>
      <c r="M534" s="1"/>
      <c r="N534" s="6"/>
      <c r="O534" s="6"/>
      <c r="P534" s="12">
        <f t="shared" si="114"/>
        <v>-1</v>
      </c>
      <c r="Q534" s="12">
        <f t="shared" si="115"/>
        <v>-1</v>
      </c>
      <c r="R534" s="24">
        <f t="shared" si="116"/>
        <v>1</v>
      </c>
      <c r="S534" s="25">
        <f t="shared" si="117"/>
        <v>1</v>
      </c>
      <c r="T534" s="23" t="str">
        <f t="shared" si="118"/>
        <v>To Paid</v>
      </c>
      <c r="U534" s="23"/>
      <c r="V534" s="1"/>
    </row>
    <row r="535" spans="1:22" x14ac:dyDescent="0.3">
      <c r="A535" s="6">
        <v>534</v>
      </c>
      <c r="B535" s="1"/>
      <c r="C535" s="1"/>
      <c r="D535" s="1"/>
      <c r="E535" s="1"/>
      <c r="F535" s="1"/>
      <c r="G535" s="1"/>
      <c r="H535" s="1"/>
      <c r="I535" s="11"/>
      <c r="J535" s="11"/>
      <c r="K535" s="11"/>
      <c r="L535" s="11"/>
      <c r="M535" s="1"/>
      <c r="N535" s="6"/>
      <c r="O535" s="6"/>
      <c r="P535" s="12">
        <f t="shared" si="114"/>
        <v>-1</v>
      </c>
      <c r="Q535" s="12">
        <f t="shared" si="115"/>
        <v>-1</v>
      </c>
      <c r="R535" s="24">
        <f t="shared" si="116"/>
        <v>1</v>
      </c>
      <c r="S535" s="25">
        <f t="shared" si="117"/>
        <v>1</v>
      </c>
      <c r="T535" s="23" t="str">
        <f t="shared" si="118"/>
        <v>To Paid</v>
      </c>
      <c r="U535" s="23"/>
      <c r="V535" s="1"/>
    </row>
    <row r="536" spans="1:22" x14ac:dyDescent="0.3">
      <c r="A536" s="6">
        <v>535</v>
      </c>
      <c r="B536" s="1"/>
      <c r="C536" s="1"/>
      <c r="D536" s="1"/>
      <c r="E536" s="1"/>
      <c r="F536" s="1"/>
      <c r="G536" s="1"/>
      <c r="H536" s="1"/>
      <c r="I536" s="11"/>
      <c r="J536" s="11"/>
      <c r="K536" s="11"/>
      <c r="L536" s="11"/>
      <c r="M536" s="1"/>
      <c r="N536" s="6"/>
      <c r="O536" s="6"/>
      <c r="P536" s="12">
        <f t="shared" si="114"/>
        <v>-1</v>
      </c>
      <c r="Q536" s="12">
        <f t="shared" si="115"/>
        <v>-1</v>
      </c>
      <c r="R536" s="24">
        <f t="shared" si="116"/>
        <v>1</v>
      </c>
      <c r="S536" s="25">
        <f t="shared" si="117"/>
        <v>1</v>
      </c>
      <c r="T536" s="23" t="str">
        <f t="shared" si="118"/>
        <v>To Paid</v>
      </c>
      <c r="U536" s="23"/>
      <c r="V536" s="1"/>
    </row>
    <row r="537" spans="1:22" x14ac:dyDescent="0.3">
      <c r="A537" s="6">
        <v>536</v>
      </c>
      <c r="B537" s="1"/>
      <c r="C537" s="1"/>
      <c r="D537" s="1"/>
      <c r="E537" s="1"/>
      <c r="F537" s="1"/>
      <c r="G537" s="1"/>
      <c r="H537" s="1"/>
      <c r="I537" s="11"/>
      <c r="J537" s="11"/>
      <c r="K537" s="11"/>
      <c r="L537" s="11"/>
      <c r="M537" s="1"/>
      <c r="N537" s="6"/>
      <c r="O537" s="6"/>
      <c r="P537" s="12">
        <f t="shared" si="114"/>
        <v>-1</v>
      </c>
      <c r="Q537" s="12">
        <f t="shared" si="115"/>
        <v>-1</v>
      </c>
      <c r="R537" s="24">
        <f t="shared" si="116"/>
        <v>1</v>
      </c>
      <c r="S537" s="25">
        <f t="shared" si="117"/>
        <v>1</v>
      </c>
      <c r="T537" s="23" t="str">
        <f t="shared" si="118"/>
        <v>To Paid</v>
      </c>
      <c r="U537" s="23"/>
      <c r="V537" s="1"/>
    </row>
    <row r="538" spans="1:22" x14ac:dyDescent="0.3">
      <c r="A538" s="6">
        <v>537</v>
      </c>
      <c r="B538" s="1"/>
      <c r="C538" s="1"/>
      <c r="D538" s="1"/>
      <c r="E538" s="1"/>
      <c r="F538" s="1"/>
      <c r="G538" s="1"/>
      <c r="H538" s="1"/>
      <c r="I538" s="11"/>
      <c r="J538" s="11"/>
      <c r="K538" s="11"/>
      <c r="L538" s="11"/>
      <c r="M538" s="1"/>
      <c r="N538" s="6"/>
      <c r="O538" s="6"/>
      <c r="P538" s="12">
        <f t="shared" si="114"/>
        <v>-1</v>
      </c>
      <c r="Q538" s="12">
        <f t="shared" si="115"/>
        <v>-1</v>
      </c>
      <c r="R538" s="24">
        <f t="shared" si="116"/>
        <v>1</v>
      </c>
      <c r="S538" s="25">
        <f t="shared" si="117"/>
        <v>1</v>
      </c>
      <c r="T538" s="23" t="str">
        <f t="shared" si="118"/>
        <v>To Paid</v>
      </c>
      <c r="U538" s="23"/>
      <c r="V538" s="1"/>
    </row>
    <row r="539" spans="1:22" x14ac:dyDescent="0.3">
      <c r="A539" s="6">
        <v>538</v>
      </c>
      <c r="B539" s="1"/>
      <c r="C539" s="1"/>
      <c r="D539" s="1"/>
      <c r="E539" s="1"/>
      <c r="F539" s="1"/>
      <c r="G539" s="1"/>
      <c r="H539" s="1"/>
      <c r="I539" s="11"/>
      <c r="J539" s="11"/>
      <c r="K539" s="11"/>
      <c r="L539" s="11"/>
      <c r="M539" s="1"/>
      <c r="N539" s="6"/>
      <c r="O539" s="6"/>
      <c r="P539" s="12">
        <f t="shared" si="114"/>
        <v>-1</v>
      </c>
      <c r="Q539" s="12">
        <f t="shared" si="115"/>
        <v>-1</v>
      </c>
      <c r="R539" s="24">
        <f t="shared" si="116"/>
        <v>1</v>
      </c>
      <c r="S539" s="25">
        <f t="shared" si="117"/>
        <v>1</v>
      </c>
      <c r="T539" s="23" t="str">
        <f t="shared" si="118"/>
        <v>To Paid</v>
      </c>
      <c r="U539" s="23"/>
      <c r="V539" s="1"/>
    </row>
    <row r="540" spans="1:22" x14ac:dyDescent="0.3">
      <c r="A540" s="6">
        <v>539</v>
      </c>
      <c r="B540" s="1"/>
      <c r="C540" s="1"/>
      <c r="D540" s="1"/>
      <c r="E540" s="1"/>
      <c r="F540" s="1"/>
      <c r="G540" s="1"/>
      <c r="H540" s="1"/>
      <c r="I540" s="11"/>
      <c r="J540" s="11"/>
      <c r="K540" s="11"/>
      <c r="L540" s="11"/>
      <c r="M540" s="1"/>
      <c r="N540" s="6"/>
      <c r="O540" s="6"/>
      <c r="P540" s="12">
        <f t="shared" si="114"/>
        <v>-1</v>
      </c>
      <c r="Q540" s="12">
        <f t="shared" si="115"/>
        <v>-1</v>
      </c>
      <c r="R540" s="24">
        <f t="shared" si="116"/>
        <v>1</v>
      </c>
      <c r="S540" s="25">
        <f t="shared" si="117"/>
        <v>1</v>
      </c>
      <c r="T540" s="23" t="str">
        <f t="shared" si="118"/>
        <v>To Paid</v>
      </c>
      <c r="U540" s="23"/>
      <c r="V540" s="1"/>
    </row>
    <row r="541" spans="1:22" x14ac:dyDescent="0.3">
      <c r="A541" s="6">
        <v>540</v>
      </c>
      <c r="B541" s="1"/>
      <c r="C541" s="1"/>
      <c r="D541" s="1"/>
      <c r="E541" s="1"/>
      <c r="F541" s="1"/>
      <c r="G541" s="1"/>
      <c r="H541" s="1"/>
      <c r="I541" s="11"/>
      <c r="J541" s="11"/>
      <c r="K541" s="11"/>
      <c r="L541" s="11"/>
      <c r="M541" s="1"/>
      <c r="N541" s="6"/>
      <c r="O541" s="6"/>
      <c r="P541" s="12">
        <f t="shared" si="114"/>
        <v>-1</v>
      </c>
      <c r="Q541" s="12">
        <f t="shared" si="115"/>
        <v>-1</v>
      </c>
      <c r="R541" s="24">
        <f t="shared" si="116"/>
        <v>1</v>
      </c>
      <c r="S541" s="25">
        <f t="shared" si="117"/>
        <v>1</v>
      </c>
      <c r="T541" s="23" t="str">
        <f t="shared" si="118"/>
        <v>To Paid</v>
      </c>
      <c r="U541" s="23"/>
      <c r="V541" s="1"/>
    </row>
    <row r="542" spans="1:22" x14ac:dyDescent="0.3">
      <c r="A542" s="6">
        <v>541</v>
      </c>
      <c r="B542" s="1"/>
      <c r="C542" s="1"/>
      <c r="D542" s="1"/>
      <c r="E542" s="1"/>
      <c r="F542" s="1"/>
      <c r="G542" s="1"/>
      <c r="H542" s="1"/>
      <c r="I542" s="11"/>
      <c r="J542" s="11"/>
      <c r="K542" s="11"/>
      <c r="L542" s="11"/>
      <c r="M542" s="1"/>
      <c r="N542" s="6"/>
      <c r="O542" s="6"/>
      <c r="P542" s="12">
        <f t="shared" si="114"/>
        <v>-1</v>
      </c>
      <c r="Q542" s="12">
        <f t="shared" si="115"/>
        <v>-1</v>
      </c>
      <c r="R542" s="24">
        <f t="shared" si="116"/>
        <v>1</v>
      </c>
      <c r="S542" s="25">
        <f t="shared" si="117"/>
        <v>1</v>
      </c>
      <c r="T542" s="23" t="str">
        <f t="shared" si="118"/>
        <v>To Paid</v>
      </c>
      <c r="U542" s="23"/>
      <c r="V542" s="1"/>
    </row>
    <row r="543" spans="1:22" x14ac:dyDescent="0.3">
      <c r="A543" s="6">
        <v>542</v>
      </c>
      <c r="B543" s="1"/>
      <c r="C543" s="1"/>
      <c r="D543" s="1"/>
      <c r="E543" s="1"/>
      <c r="F543" s="1"/>
      <c r="G543" s="1"/>
      <c r="H543" s="1"/>
      <c r="I543" s="11"/>
      <c r="J543" s="11"/>
      <c r="K543" s="11"/>
      <c r="L543" s="11"/>
      <c r="M543" s="1"/>
      <c r="N543" s="6"/>
      <c r="O543" s="6"/>
      <c r="P543" s="12">
        <f t="shared" si="114"/>
        <v>-1</v>
      </c>
      <c r="Q543" s="12">
        <f t="shared" si="115"/>
        <v>-1</v>
      </c>
      <c r="R543" s="24">
        <f t="shared" si="116"/>
        <v>1</v>
      </c>
      <c r="S543" s="25">
        <f t="shared" si="117"/>
        <v>1</v>
      </c>
      <c r="T543" s="23" t="str">
        <f t="shared" si="118"/>
        <v>To Paid</v>
      </c>
      <c r="U543" s="23"/>
      <c r="V543" s="1"/>
    </row>
    <row r="544" spans="1:22" x14ac:dyDescent="0.3">
      <c r="A544" s="6">
        <v>543</v>
      </c>
      <c r="B544" s="1"/>
      <c r="C544" s="1"/>
      <c r="D544" s="1"/>
      <c r="E544" s="1"/>
      <c r="F544" s="1"/>
      <c r="G544" s="1"/>
      <c r="H544" s="1"/>
      <c r="I544" s="11"/>
      <c r="J544" s="11"/>
      <c r="K544" s="11"/>
      <c r="L544" s="11"/>
      <c r="M544" s="1"/>
      <c r="N544" s="6"/>
      <c r="O544" s="6"/>
      <c r="P544" s="12">
        <f t="shared" si="114"/>
        <v>-1</v>
      </c>
      <c r="Q544" s="12">
        <f t="shared" si="115"/>
        <v>-1</v>
      </c>
      <c r="R544" s="24">
        <f t="shared" si="116"/>
        <v>1</v>
      </c>
      <c r="S544" s="25">
        <f t="shared" si="117"/>
        <v>1</v>
      </c>
      <c r="T544" s="23" t="str">
        <f t="shared" si="118"/>
        <v>To Paid</v>
      </c>
      <c r="U544" s="23"/>
      <c r="V544" s="1"/>
    </row>
    <row r="545" spans="1:22" x14ac:dyDescent="0.3">
      <c r="A545" s="6">
        <v>544</v>
      </c>
      <c r="B545" s="1"/>
      <c r="C545" s="1"/>
      <c r="D545" s="1"/>
      <c r="E545" s="1"/>
      <c r="F545" s="1"/>
      <c r="G545" s="1"/>
      <c r="H545" s="1"/>
      <c r="I545" s="11"/>
      <c r="J545" s="11"/>
      <c r="K545" s="11"/>
      <c r="L545" s="11"/>
      <c r="M545" s="1"/>
      <c r="N545" s="6"/>
      <c r="O545" s="6"/>
      <c r="P545" s="12">
        <f t="shared" si="114"/>
        <v>-1</v>
      </c>
      <c r="Q545" s="12">
        <f t="shared" si="115"/>
        <v>-1</v>
      </c>
      <c r="R545" s="24">
        <f t="shared" si="116"/>
        <v>1</v>
      </c>
      <c r="S545" s="25">
        <f t="shared" si="117"/>
        <v>1</v>
      </c>
      <c r="T545" s="23" t="str">
        <f t="shared" si="118"/>
        <v>To Paid</v>
      </c>
      <c r="U545" s="23"/>
      <c r="V545" s="1"/>
    </row>
    <row r="546" spans="1:22" x14ac:dyDescent="0.3">
      <c r="A546" s="6">
        <v>545</v>
      </c>
      <c r="B546" s="1"/>
      <c r="C546" s="1"/>
      <c r="D546" s="1"/>
      <c r="E546" s="1"/>
      <c r="F546" s="1"/>
      <c r="G546" s="1"/>
      <c r="H546" s="1"/>
      <c r="I546" s="11"/>
      <c r="J546" s="11"/>
      <c r="K546" s="11"/>
      <c r="L546" s="11"/>
      <c r="M546" s="1"/>
      <c r="N546" s="6"/>
      <c r="O546" s="6"/>
      <c r="P546" s="12">
        <f t="shared" si="114"/>
        <v>-1</v>
      </c>
      <c r="Q546" s="12">
        <f t="shared" si="115"/>
        <v>-1</v>
      </c>
      <c r="R546" s="24">
        <f t="shared" si="116"/>
        <v>1</v>
      </c>
      <c r="S546" s="25">
        <f t="shared" si="117"/>
        <v>1</v>
      </c>
      <c r="T546" s="23" t="str">
        <f t="shared" si="118"/>
        <v>To Paid</v>
      </c>
      <c r="U546" s="23"/>
      <c r="V546" s="1"/>
    </row>
    <row r="547" spans="1:22" x14ac:dyDescent="0.3">
      <c r="A547" s="6">
        <v>546</v>
      </c>
      <c r="B547" s="1"/>
      <c r="C547" s="1"/>
      <c r="D547" s="1"/>
      <c r="E547" s="1"/>
      <c r="F547" s="1"/>
      <c r="G547" s="1"/>
      <c r="H547" s="1"/>
      <c r="I547" s="11"/>
      <c r="J547" s="11"/>
      <c r="K547" s="11"/>
      <c r="L547" s="11"/>
      <c r="M547" s="1"/>
      <c r="N547" s="6"/>
      <c r="O547" s="6"/>
      <c r="P547" s="12">
        <f t="shared" si="114"/>
        <v>-1</v>
      </c>
      <c r="Q547" s="12">
        <f t="shared" si="115"/>
        <v>-1</v>
      </c>
      <c r="R547" s="24">
        <f t="shared" si="116"/>
        <v>1</v>
      </c>
      <c r="S547" s="25">
        <f t="shared" si="117"/>
        <v>1</v>
      </c>
      <c r="T547" s="23" t="str">
        <f t="shared" si="118"/>
        <v>To Paid</v>
      </c>
      <c r="U547" s="23"/>
      <c r="V547" s="1"/>
    </row>
    <row r="548" spans="1:22" x14ac:dyDescent="0.3">
      <c r="A548" s="6">
        <v>547</v>
      </c>
      <c r="B548" s="1"/>
      <c r="C548" s="1"/>
      <c r="D548" s="1"/>
      <c r="E548" s="1"/>
      <c r="F548" s="1"/>
      <c r="G548" s="1"/>
      <c r="H548" s="1"/>
      <c r="I548" s="11"/>
      <c r="J548" s="11"/>
      <c r="K548" s="11"/>
      <c r="L548" s="11"/>
      <c r="M548" s="1"/>
      <c r="N548" s="6"/>
      <c r="O548" s="6"/>
      <c r="P548" s="12">
        <f t="shared" si="114"/>
        <v>-1</v>
      </c>
      <c r="Q548" s="12">
        <f t="shared" si="115"/>
        <v>-1</v>
      </c>
      <c r="R548" s="24">
        <f t="shared" si="116"/>
        <v>1</v>
      </c>
      <c r="S548" s="25">
        <f t="shared" si="117"/>
        <v>1</v>
      </c>
      <c r="T548" s="23" t="str">
        <f t="shared" si="118"/>
        <v>To Paid</v>
      </c>
      <c r="U548" s="23"/>
      <c r="V548" s="1"/>
    </row>
    <row r="549" spans="1:22" x14ac:dyDescent="0.3">
      <c r="A549" s="6">
        <v>548</v>
      </c>
      <c r="B549" s="1"/>
      <c r="C549" s="1"/>
      <c r="D549" s="1"/>
      <c r="E549" s="1"/>
      <c r="F549" s="1"/>
      <c r="G549" s="1"/>
      <c r="H549" s="1"/>
      <c r="I549" s="11"/>
      <c r="J549" s="11"/>
      <c r="K549" s="11"/>
      <c r="L549" s="11"/>
      <c r="M549" s="1"/>
      <c r="N549" s="6"/>
      <c r="O549" s="6"/>
      <c r="P549" s="12">
        <f t="shared" si="114"/>
        <v>-1</v>
      </c>
      <c r="Q549" s="12">
        <f t="shared" si="115"/>
        <v>-1</v>
      </c>
      <c r="R549" s="24">
        <f t="shared" si="116"/>
        <v>1</v>
      </c>
      <c r="S549" s="25">
        <f t="shared" si="117"/>
        <v>1</v>
      </c>
      <c r="T549" s="23" t="str">
        <f t="shared" si="118"/>
        <v>To Paid</v>
      </c>
      <c r="U549" s="23"/>
      <c r="V549" s="1"/>
    </row>
    <row r="550" spans="1:22" x14ac:dyDescent="0.3">
      <c r="A550" s="6">
        <v>549</v>
      </c>
      <c r="B550" s="1"/>
      <c r="C550" s="1"/>
      <c r="D550" s="1"/>
      <c r="E550" s="1"/>
      <c r="F550" s="1"/>
      <c r="G550" s="1"/>
      <c r="H550" s="1"/>
      <c r="I550" s="11"/>
      <c r="J550" s="11"/>
      <c r="K550" s="11"/>
      <c r="L550" s="11"/>
      <c r="M550" s="1"/>
      <c r="N550" s="6"/>
      <c r="O550" s="6"/>
      <c r="P550" s="12">
        <f t="shared" si="114"/>
        <v>-1</v>
      </c>
      <c r="Q550" s="12">
        <f t="shared" si="115"/>
        <v>-1</v>
      </c>
      <c r="R550" s="24">
        <f t="shared" si="116"/>
        <v>1</v>
      </c>
      <c r="S550" s="25">
        <f t="shared" si="117"/>
        <v>1</v>
      </c>
      <c r="T550" s="23" t="str">
        <f t="shared" si="118"/>
        <v>To Paid</v>
      </c>
      <c r="U550" s="23"/>
      <c r="V550" s="1"/>
    </row>
    <row r="551" spans="1:22" x14ac:dyDescent="0.3">
      <c r="A551" s="6">
        <v>550</v>
      </c>
      <c r="B551" s="1"/>
      <c r="C551" s="1"/>
      <c r="D551" s="1"/>
      <c r="E551" s="1"/>
      <c r="F551" s="1"/>
      <c r="G551" s="1"/>
      <c r="H551" s="1"/>
      <c r="I551" s="11"/>
      <c r="J551" s="11"/>
      <c r="K551" s="11"/>
      <c r="L551" s="11"/>
      <c r="M551" s="1"/>
      <c r="N551" s="6"/>
      <c r="O551" s="6"/>
      <c r="P551" s="12">
        <f t="shared" si="114"/>
        <v>-1</v>
      </c>
      <c r="Q551" s="12">
        <f t="shared" si="115"/>
        <v>-1</v>
      </c>
      <c r="R551" s="24">
        <f t="shared" si="116"/>
        <v>1</v>
      </c>
      <c r="S551" s="25">
        <f t="shared" si="117"/>
        <v>1</v>
      </c>
      <c r="T551" s="23" t="str">
        <f t="shared" si="118"/>
        <v>To Paid</v>
      </c>
      <c r="U551" s="23"/>
      <c r="V551" s="1"/>
    </row>
    <row r="552" spans="1:22" x14ac:dyDescent="0.3">
      <c r="A552" s="6">
        <v>551</v>
      </c>
      <c r="B552" s="1"/>
      <c r="C552" s="1"/>
      <c r="D552" s="1"/>
      <c r="E552" s="1"/>
      <c r="F552" s="1"/>
      <c r="G552" s="1"/>
      <c r="H552" s="1"/>
      <c r="I552" s="11"/>
      <c r="J552" s="11"/>
      <c r="K552" s="11"/>
      <c r="L552" s="11"/>
      <c r="M552" s="1"/>
      <c r="N552" s="6"/>
      <c r="O552" s="6"/>
      <c r="P552" s="12">
        <f t="shared" si="114"/>
        <v>-1</v>
      </c>
      <c r="Q552" s="12">
        <f t="shared" si="115"/>
        <v>-1</v>
      </c>
      <c r="R552" s="24">
        <f t="shared" si="116"/>
        <v>1</v>
      </c>
      <c r="S552" s="25">
        <f t="shared" si="117"/>
        <v>1</v>
      </c>
      <c r="T552" s="23" t="str">
        <f t="shared" si="118"/>
        <v>To Paid</v>
      </c>
      <c r="U552" s="23"/>
      <c r="V552" s="1"/>
    </row>
    <row r="553" spans="1:22" x14ac:dyDescent="0.3">
      <c r="A553" s="6">
        <v>552</v>
      </c>
      <c r="B553" s="1"/>
      <c r="C553" s="1"/>
      <c r="D553" s="1"/>
      <c r="E553" s="1"/>
      <c r="F553" s="1"/>
      <c r="G553" s="1"/>
      <c r="H553" s="1"/>
      <c r="I553" s="11"/>
      <c r="J553" s="11"/>
      <c r="K553" s="11"/>
      <c r="L553" s="11"/>
      <c r="M553" s="1"/>
      <c r="N553" s="6"/>
      <c r="O553" s="6"/>
      <c r="P553" s="12">
        <f t="shared" si="114"/>
        <v>-1</v>
      </c>
      <c r="Q553" s="12">
        <f t="shared" si="115"/>
        <v>-1</v>
      </c>
      <c r="R553" s="24">
        <f t="shared" si="116"/>
        <v>1</v>
      </c>
      <c r="S553" s="25">
        <f t="shared" si="117"/>
        <v>1</v>
      </c>
      <c r="T553" s="23" t="str">
        <f t="shared" si="118"/>
        <v>To Paid</v>
      </c>
      <c r="U553" s="23"/>
      <c r="V553" s="1"/>
    </row>
    <row r="554" spans="1:22" x14ac:dyDescent="0.3">
      <c r="A554" s="6">
        <v>553</v>
      </c>
      <c r="B554" s="1"/>
      <c r="C554" s="1"/>
      <c r="D554" s="1"/>
      <c r="E554" s="1"/>
      <c r="F554" s="1"/>
      <c r="G554" s="1"/>
      <c r="H554" s="1"/>
      <c r="I554" s="11"/>
      <c r="J554" s="11"/>
      <c r="K554" s="11"/>
      <c r="L554" s="11"/>
      <c r="M554" s="1"/>
      <c r="N554" s="6"/>
      <c r="O554" s="6"/>
      <c r="P554" s="12">
        <f t="shared" si="114"/>
        <v>-1</v>
      </c>
      <c r="Q554" s="12">
        <f t="shared" si="115"/>
        <v>-1</v>
      </c>
      <c r="R554" s="24">
        <f t="shared" si="116"/>
        <v>1</v>
      </c>
      <c r="S554" s="25">
        <f t="shared" si="117"/>
        <v>1</v>
      </c>
      <c r="T554" s="23" t="str">
        <f t="shared" si="118"/>
        <v>To Paid</v>
      </c>
      <c r="U554" s="23"/>
      <c r="V554" s="1"/>
    </row>
    <row r="555" spans="1:22" x14ac:dyDescent="0.3">
      <c r="A555" s="6">
        <v>554</v>
      </c>
      <c r="B555" s="1"/>
      <c r="C555" s="1"/>
      <c r="D555" s="1"/>
      <c r="E555" s="1"/>
      <c r="F555" s="1"/>
      <c r="G555" s="1"/>
      <c r="H555" s="1"/>
      <c r="I555" s="11"/>
      <c r="J555" s="11"/>
      <c r="K555" s="11"/>
      <c r="L555" s="11"/>
      <c r="M555" s="1"/>
      <c r="N555" s="6"/>
      <c r="O555" s="6"/>
      <c r="P555" s="12">
        <f t="shared" si="114"/>
        <v>-1</v>
      </c>
      <c r="Q555" s="12">
        <f t="shared" si="115"/>
        <v>-1</v>
      </c>
      <c r="R555" s="24">
        <f t="shared" si="116"/>
        <v>1</v>
      </c>
      <c r="S555" s="25">
        <f t="shared" si="117"/>
        <v>1</v>
      </c>
      <c r="T555" s="23" t="str">
        <f t="shared" si="118"/>
        <v>To Paid</v>
      </c>
      <c r="U555" s="23"/>
      <c r="V555" s="1"/>
    </row>
    <row r="556" spans="1:22" x14ac:dyDescent="0.3">
      <c r="A556" s="6">
        <v>555</v>
      </c>
      <c r="B556" s="1"/>
      <c r="C556" s="1"/>
      <c r="D556" s="1"/>
      <c r="E556" s="1"/>
      <c r="F556" s="1"/>
      <c r="G556" s="1"/>
      <c r="H556" s="1"/>
      <c r="I556" s="11"/>
      <c r="J556" s="11"/>
      <c r="K556" s="11"/>
      <c r="L556" s="11"/>
      <c r="M556" s="1"/>
      <c r="N556" s="6"/>
      <c r="O556" s="6"/>
      <c r="P556" s="12">
        <f t="shared" si="114"/>
        <v>-1</v>
      </c>
      <c r="Q556" s="12">
        <f t="shared" si="115"/>
        <v>-1</v>
      </c>
      <c r="R556" s="24">
        <f t="shared" si="116"/>
        <v>1</v>
      </c>
      <c r="S556" s="25">
        <f t="shared" si="117"/>
        <v>1</v>
      </c>
      <c r="T556" s="23" t="str">
        <f t="shared" si="118"/>
        <v>To Paid</v>
      </c>
      <c r="U556" s="23"/>
      <c r="V556" s="1"/>
    </row>
    <row r="557" spans="1:22" x14ac:dyDescent="0.3">
      <c r="A557" s="6">
        <v>556</v>
      </c>
      <c r="B557" s="1"/>
      <c r="C557" s="1"/>
      <c r="D557" s="1"/>
      <c r="E557" s="1"/>
      <c r="F557" s="1"/>
      <c r="G557" s="1"/>
      <c r="H557" s="1"/>
      <c r="I557" s="11"/>
      <c r="J557" s="11"/>
      <c r="K557" s="11"/>
      <c r="L557" s="11"/>
      <c r="M557" s="1"/>
      <c r="N557" s="6"/>
      <c r="O557" s="6"/>
      <c r="P557" s="12">
        <f t="shared" si="114"/>
        <v>-1</v>
      </c>
      <c r="Q557" s="12">
        <f t="shared" si="115"/>
        <v>-1</v>
      </c>
      <c r="R557" s="24">
        <f t="shared" si="116"/>
        <v>1</v>
      </c>
      <c r="S557" s="25">
        <f t="shared" si="117"/>
        <v>1</v>
      </c>
      <c r="T557" s="23" t="str">
        <f t="shared" si="118"/>
        <v>To Paid</v>
      </c>
      <c r="U557" s="23"/>
      <c r="V557" s="1"/>
    </row>
    <row r="558" spans="1:22" x14ac:dyDescent="0.3">
      <c r="A558" s="6">
        <v>557</v>
      </c>
      <c r="B558" s="1"/>
      <c r="C558" s="1"/>
      <c r="D558" s="1"/>
      <c r="E558" s="1"/>
      <c r="F558" s="1"/>
      <c r="G558" s="1"/>
      <c r="H558" s="1"/>
      <c r="I558" s="11"/>
      <c r="J558" s="11"/>
      <c r="K558" s="11"/>
      <c r="L558" s="11"/>
      <c r="M558" s="1"/>
      <c r="N558" s="6"/>
      <c r="O558" s="6"/>
      <c r="P558" s="12">
        <f t="shared" si="114"/>
        <v>-1</v>
      </c>
      <c r="Q558" s="12">
        <f t="shared" si="115"/>
        <v>-1</v>
      </c>
      <c r="R558" s="24">
        <f t="shared" si="116"/>
        <v>1</v>
      </c>
      <c r="S558" s="25">
        <f t="shared" si="117"/>
        <v>1</v>
      </c>
      <c r="T558" s="23" t="str">
        <f t="shared" si="118"/>
        <v>To Paid</v>
      </c>
      <c r="U558" s="23"/>
      <c r="V558" s="1"/>
    </row>
    <row r="559" spans="1:22" x14ac:dyDescent="0.3">
      <c r="A559" s="6">
        <v>558</v>
      </c>
      <c r="B559" s="1"/>
      <c r="C559" s="1"/>
      <c r="D559" s="1"/>
      <c r="E559" s="1"/>
      <c r="F559" s="1"/>
      <c r="G559" s="1"/>
      <c r="H559" s="1"/>
      <c r="I559" s="11"/>
      <c r="J559" s="11"/>
      <c r="K559" s="11"/>
      <c r="L559" s="11"/>
      <c r="M559" s="1"/>
      <c r="N559" s="6"/>
      <c r="O559" s="6"/>
      <c r="P559" s="12">
        <f t="shared" si="114"/>
        <v>-1</v>
      </c>
      <c r="Q559" s="12">
        <f t="shared" si="115"/>
        <v>-1</v>
      </c>
      <c r="R559" s="24">
        <f t="shared" si="116"/>
        <v>1</v>
      </c>
      <c r="S559" s="25">
        <f t="shared" si="117"/>
        <v>1</v>
      </c>
      <c r="T559" s="23" t="str">
        <f t="shared" si="118"/>
        <v>To Paid</v>
      </c>
      <c r="U559" s="23"/>
      <c r="V559" s="1"/>
    </row>
    <row r="560" spans="1:22" x14ac:dyDescent="0.3">
      <c r="A560" s="6">
        <v>559</v>
      </c>
      <c r="B560" s="1"/>
      <c r="C560" s="1"/>
      <c r="D560" s="1"/>
      <c r="E560" s="1"/>
      <c r="F560" s="1"/>
      <c r="G560" s="1"/>
      <c r="H560" s="1"/>
      <c r="I560" s="11"/>
      <c r="J560" s="11"/>
      <c r="K560" s="11"/>
      <c r="L560" s="11"/>
      <c r="M560" s="1"/>
      <c r="N560" s="6"/>
      <c r="O560" s="6"/>
      <c r="P560" s="12">
        <f t="shared" si="114"/>
        <v>-1</v>
      </c>
      <c r="Q560" s="12">
        <f t="shared" si="115"/>
        <v>-1</v>
      </c>
      <c r="R560" s="24">
        <f t="shared" si="116"/>
        <v>1</v>
      </c>
      <c r="S560" s="25">
        <f t="shared" si="117"/>
        <v>1</v>
      </c>
      <c r="T560" s="23" t="str">
        <f t="shared" si="118"/>
        <v>To Paid</v>
      </c>
      <c r="U560" s="23"/>
      <c r="V560" s="1"/>
    </row>
    <row r="561" spans="1:22" x14ac:dyDescent="0.3">
      <c r="A561" s="6">
        <v>560</v>
      </c>
      <c r="B561" s="1"/>
      <c r="C561" s="1"/>
      <c r="D561" s="1"/>
      <c r="E561" s="1"/>
      <c r="F561" s="1"/>
      <c r="G561" s="1"/>
      <c r="H561" s="1"/>
      <c r="I561" s="11"/>
      <c r="J561" s="11"/>
      <c r="K561" s="11"/>
      <c r="L561" s="11"/>
      <c r="M561" s="1"/>
      <c r="N561" s="6"/>
      <c r="O561" s="6"/>
      <c r="P561" s="12">
        <f t="shared" si="114"/>
        <v>-1</v>
      </c>
      <c r="Q561" s="12">
        <f t="shared" si="115"/>
        <v>-1</v>
      </c>
      <c r="R561" s="24">
        <f t="shared" si="116"/>
        <v>1</v>
      </c>
      <c r="S561" s="25">
        <f t="shared" si="117"/>
        <v>1</v>
      </c>
      <c r="T561" s="23" t="str">
        <f t="shared" si="118"/>
        <v>To Paid</v>
      </c>
      <c r="U561" s="23"/>
      <c r="V561" s="1"/>
    </row>
    <row r="562" spans="1:22" x14ac:dyDescent="0.3">
      <c r="A562" s="6">
        <v>561</v>
      </c>
      <c r="B562" s="1"/>
      <c r="C562" s="1"/>
      <c r="D562" s="1"/>
      <c r="E562" s="1"/>
      <c r="F562" s="1"/>
      <c r="G562" s="1"/>
      <c r="H562" s="1"/>
      <c r="I562" s="11"/>
      <c r="J562" s="11"/>
      <c r="K562" s="11"/>
      <c r="L562" s="11"/>
      <c r="M562" s="1"/>
      <c r="N562" s="6"/>
      <c r="O562" s="6"/>
      <c r="P562" s="12">
        <f t="shared" si="114"/>
        <v>-1</v>
      </c>
      <c r="Q562" s="12">
        <f t="shared" si="115"/>
        <v>-1</v>
      </c>
      <c r="R562" s="24">
        <f t="shared" si="116"/>
        <v>1</v>
      </c>
      <c r="S562" s="25">
        <f t="shared" si="117"/>
        <v>1</v>
      </c>
      <c r="T562" s="23" t="str">
        <f t="shared" si="118"/>
        <v>To Paid</v>
      </c>
      <c r="U562" s="23"/>
      <c r="V562" s="1"/>
    </row>
  </sheetData>
  <autoFilter ref="A1:V562" xr:uid="{08323E58-91B1-4BC3-A235-CD9412059F7B}"/>
  <mergeCells count="6">
    <mergeCell ref="B149:B150"/>
    <mergeCell ref="D149:D150"/>
    <mergeCell ref="E149:E150"/>
    <mergeCell ref="F149:F150"/>
    <mergeCell ref="G278:G279"/>
    <mergeCell ref="C149:C150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BD8E-A103-4844-A475-863173596835}">
  <dimension ref="A1:U66"/>
  <sheetViews>
    <sheetView zoomScale="85" zoomScaleNormal="85" workbookViewId="0">
      <pane xSplit="7" ySplit="1" topLeftCell="H22" activePane="bottomRight" state="frozen"/>
      <selection pane="topRight" activeCell="H1" sqref="H1"/>
      <selection pane="bottomLeft" activeCell="A15" sqref="A15"/>
      <selection pane="bottomRight" activeCell="H54" sqref="H54"/>
    </sheetView>
  </sheetViews>
  <sheetFormatPr defaultRowHeight="14.4" x14ac:dyDescent="0.3"/>
  <cols>
    <col min="1" max="1" width="4" style="4" bestFit="1" customWidth="1"/>
    <col min="2" max="2" width="17.6640625" bestFit="1" customWidth="1"/>
    <col min="3" max="3" width="20.33203125" bestFit="1" customWidth="1"/>
    <col min="4" max="4" width="13.88671875" customWidth="1"/>
    <col min="5" max="5" width="11.33203125" bestFit="1" customWidth="1"/>
    <col min="6" max="6" width="10.44140625" bestFit="1" customWidth="1"/>
    <col min="7" max="7" width="32.88671875" bestFit="1" customWidth="1"/>
    <col min="8" max="8" width="17" style="17" customWidth="1"/>
    <col min="9" max="9" width="14.88671875" style="14" bestFit="1" customWidth="1"/>
    <col min="10" max="12" width="13.88671875" style="14" customWidth="1"/>
    <col min="13" max="13" width="21.33203125" customWidth="1"/>
    <col min="14" max="14" width="15.6640625" style="4" customWidth="1"/>
    <col min="15" max="15" width="14.33203125" style="4" customWidth="1"/>
    <col min="16" max="16" width="17.33203125" style="14" customWidth="1"/>
    <col min="17" max="17" width="16.6640625" style="14" customWidth="1"/>
    <col min="18" max="18" width="21.109375" style="18" customWidth="1"/>
    <col min="19" max="19" width="20.5546875" style="27" customWidth="1"/>
    <col min="20" max="20" width="20.5546875" style="4" customWidth="1"/>
    <col min="21" max="21" width="91.33203125" customWidth="1"/>
  </cols>
  <sheetData>
    <row r="1" spans="1:21" s="3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" t="s">
        <v>12</v>
      </c>
      <c r="N1" s="5" t="s">
        <v>13</v>
      </c>
      <c r="O1" s="5" t="s">
        <v>14</v>
      </c>
      <c r="P1" s="10" t="s">
        <v>15</v>
      </c>
      <c r="Q1" s="10" t="s">
        <v>16</v>
      </c>
      <c r="R1" s="20" t="s">
        <v>17</v>
      </c>
      <c r="S1" s="5" t="s">
        <v>18</v>
      </c>
      <c r="T1" s="5" t="s">
        <v>5</v>
      </c>
      <c r="U1" s="2" t="s">
        <v>20</v>
      </c>
    </row>
    <row r="2" spans="1:21" ht="15.6" x14ac:dyDescent="0.3">
      <c r="A2" s="6">
        <v>1</v>
      </c>
      <c r="B2" s="1" t="s">
        <v>21</v>
      </c>
      <c r="C2" s="31"/>
      <c r="D2" s="1" t="s">
        <v>981</v>
      </c>
      <c r="E2" s="1">
        <v>9700018472</v>
      </c>
      <c r="F2" s="8" t="s">
        <v>9</v>
      </c>
      <c r="G2" s="1" t="s">
        <v>982</v>
      </c>
      <c r="H2" s="19" t="s">
        <v>983</v>
      </c>
      <c r="I2" s="11">
        <v>46227</v>
      </c>
      <c r="J2" s="11">
        <v>46251</v>
      </c>
      <c r="K2" s="11">
        <v>46251</v>
      </c>
      <c r="L2" s="11">
        <v>46251</v>
      </c>
      <c r="M2" s="1"/>
      <c r="N2" s="6"/>
      <c r="O2" s="6"/>
      <c r="P2" s="12">
        <f t="shared" ref="P2:Q18" si="0">I2+N2-1</f>
        <v>46226</v>
      </c>
      <c r="Q2" s="11">
        <f t="shared" si="0"/>
        <v>46250</v>
      </c>
      <c r="R2" s="24">
        <f t="shared" ref="R2:R31" si="1">J2-P2</f>
        <v>25</v>
      </c>
      <c r="S2" s="25">
        <f t="shared" ref="S2:S28" si="2">L2-Q2</f>
        <v>1</v>
      </c>
      <c r="T2" s="23" t="str">
        <f t="shared" ref="T2:T12" si="3">IF(R2&gt;0,"To Paid","No")</f>
        <v>To Paid</v>
      </c>
      <c r="U2" s="1"/>
    </row>
    <row r="3" spans="1:21" x14ac:dyDescent="0.3">
      <c r="A3" s="6">
        <v>2</v>
      </c>
      <c r="B3" s="1" t="s">
        <v>21</v>
      </c>
      <c r="C3" s="1" t="s">
        <v>984</v>
      </c>
      <c r="D3" s="1" t="s">
        <v>985</v>
      </c>
      <c r="E3" s="1">
        <v>9700018500</v>
      </c>
      <c r="F3" s="8" t="s">
        <v>9</v>
      </c>
      <c r="G3" s="1" t="s">
        <v>986</v>
      </c>
      <c r="H3" s="19" t="s">
        <v>987</v>
      </c>
      <c r="I3" s="11"/>
      <c r="J3" s="11"/>
      <c r="K3" s="11"/>
      <c r="L3" s="11"/>
      <c r="M3" s="1"/>
      <c r="N3" s="6">
        <v>14</v>
      </c>
      <c r="O3" s="6"/>
      <c r="P3" s="12">
        <f t="shared" si="0"/>
        <v>13</v>
      </c>
      <c r="Q3" s="11">
        <f t="shared" si="0"/>
        <v>-1</v>
      </c>
      <c r="R3" s="24">
        <f t="shared" si="1"/>
        <v>-13</v>
      </c>
      <c r="S3" s="25">
        <f t="shared" si="2"/>
        <v>1</v>
      </c>
      <c r="T3" s="23" t="str">
        <f t="shared" si="3"/>
        <v>No</v>
      </c>
      <c r="U3" s="1" t="s">
        <v>988</v>
      </c>
    </row>
    <row r="4" spans="1:21" x14ac:dyDescent="0.3">
      <c r="A4" s="6">
        <v>3</v>
      </c>
      <c r="B4" s="1" t="s">
        <v>21</v>
      </c>
      <c r="C4" s="1" t="s">
        <v>984</v>
      </c>
      <c r="D4" s="1" t="s">
        <v>989</v>
      </c>
      <c r="E4" s="1">
        <v>9700018500</v>
      </c>
      <c r="F4" s="8" t="s">
        <v>9</v>
      </c>
      <c r="G4" s="1" t="s">
        <v>990</v>
      </c>
      <c r="H4" s="19" t="s">
        <v>987</v>
      </c>
      <c r="I4" s="11"/>
      <c r="J4" s="11"/>
      <c r="K4" s="11"/>
      <c r="L4" s="11"/>
      <c r="M4" s="1"/>
      <c r="N4" s="6">
        <v>14</v>
      </c>
      <c r="O4" s="6"/>
      <c r="P4" s="12">
        <f t="shared" si="0"/>
        <v>13</v>
      </c>
      <c r="Q4" s="11">
        <f t="shared" si="0"/>
        <v>-1</v>
      </c>
      <c r="R4" s="24">
        <f t="shared" si="1"/>
        <v>-13</v>
      </c>
      <c r="S4" s="25">
        <f t="shared" si="2"/>
        <v>1</v>
      </c>
      <c r="T4" s="23" t="str">
        <f t="shared" si="3"/>
        <v>No</v>
      </c>
      <c r="U4" s="1" t="s">
        <v>988</v>
      </c>
    </row>
    <row r="5" spans="1:21" x14ac:dyDescent="0.3">
      <c r="A5" s="6">
        <v>4</v>
      </c>
      <c r="B5" s="1" t="s">
        <v>21</v>
      </c>
      <c r="C5" s="1" t="s">
        <v>984</v>
      </c>
      <c r="D5" s="1" t="s">
        <v>991</v>
      </c>
      <c r="E5" s="1">
        <v>9700018500</v>
      </c>
      <c r="F5" s="8" t="s">
        <v>9</v>
      </c>
      <c r="G5" s="1" t="s">
        <v>577</v>
      </c>
      <c r="H5" s="19" t="s">
        <v>987</v>
      </c>
      <c r="I5" s="11"/>
      <c r="J5" s="11"/>
      <c r="K5" s="11"/>
      <c r="L5" s="11"/>
      <c r="M5" s="1"/>
      <c r="N5" s="6">
        <v>14</v>
      </c>
      <c r="O5" s="6"/>
      <c r="P5" s="12">
        <f t="shared" si="0"/>
        <v>13</v>
      </c>
      <c r="Q5" s="11">
        <f t="shared" si="0"/>
        <v>-1</v>
      </c>
      <c r="R5" s="24">
        <f t="shared" si="1"/>
        <v>-13</v>
      </c>
      <c r="S5" s="25">
        <f t="shared" si="2"/>
        <v>1</v>
      </c>
      <c r="T5" s="23" t="str">
        <f t="shared" si="3"/>
        <v>No</v>
      </c>
      <c r="U5" s="1" t="s">
        <v>988</v>
      </c>
    </row>
    <row r="6" spans="1:21" x14ac:dyDescent="0.3">
      <c r="A6" s="6">
        <v>5</v>
      </c>
      <c r="B6" s="1" t="s">
        <v>21</v>
      </c>
      <c r="C6" s="1" t="s">
        <v>984</v>
      </c>
      <c r="D6" s="1" t="s">
        <v>992</v>
      </c>
      <c r="E6" s="1">
        <v>9700018500</v>
      </c>
      <c r="F6" s="8" t="s">
        <v>9</v>
      </c>
      <c r="G6" s="1" t="s">
        <v>993</v>
      </c>
      <c r="H6" s="19" t="s">
        <v>987</v>
      </c>
      <c r="I6" s="11"/>
      <c r="J6" s="11"/>
      <c r="K6" s="11"/>
      <c r="L6" s="11"/>
      <c r="M6" s="1"/>
      <c r="N6" s="6">
        <v>14</v>
      </c>
      <c r="O6" s="6"/>
      <c r="P6" s="12">
        <f t="shared" si="0"/>
        <v>13</v>
      </c>
      <c r="Q6" s="11">
        <f t="shared" si="0"/>
        <v>-1</v>
      </c>
      <c r="R6" s="24">
        <f t="shared" si="1"/>
        <v>-13</v>
      </c>
      <c r="S6" s="25">
        <f t="shared" si="2"/>
        <v>1</v>
      </c>
      <c r="T6" s="23" t="str">
        <f t="shared" si="3"/>
        <v>No</v>
      </c>
      <c r="U6" s="1" t="s">
        <v>988</v>
      </c>
    </row>
    <row r="7" spans="1:21" x14ac:dyDescent="0.3">
      <c r="A7" s="6">
        <v>6</v>
      </c>
      <c r="B7" s="1" t="s">
        <v>21</v>
      </c>
      <c r="C7" s="1" t="s">
        <v>984</v>
      </c>
      <c r="D7" s="1" t="s">
        <v>994</v>
      </c>
      <c r="E7" s="1">
        <v>9700018500</v>
      </c>
      <c r="F7" s="8" t="s">
        <v>9</v>
      </c>
      <c r="G7" s="1" t="s">
        <v>995</v>
      </c>
      <c r="H7" s="19" t="s">
        <v>987</v>
      </c>
      <c r="I7" s="11"/>
      <c r="J7" s="11"/>
      <c r="K7" s="11"/>
      <c r="L7" s="11"/>
      <c r="M7" s="1"/>
      <c r="N7" s="6">
        <v>14</v>
      </c>
      <c r="O7" s="6"/>
      <c r="P7" s="12">
        <f t="shared" si="0"/>
        <v>13</v>
      </c>
      <c r="Q7" s="11">
        <f t="shared" si="0"/>
        <v>-1</v>
      </c>
      <c r="R7" s="24">
        <f t="shared" si="1"/>
        <v>-13</v>
      </c>
      <c r="S7" s="25">
        <f t="shared" si="2"/>
        <v>1</v>
      </c>
      <c r="T7" s="23" t="str">
        <f t="shared" si="3"/>
        <v>No</v>
      </c>
      <c r="U7" s="1" t="s">
        <v>988</v>
      </c>
    </row>
    <row r="8" spans="1:21" x14ac:dyDescent="0.3">
      <c r="A8" s="6">
        <v>7</v>
      </c>
      <c r="B8" s="1" t="s">
        <v>21</v>
      </c>
      <c r="C8" s="32" t="s">
        <v>996</v>
      </c>
      <c r="D8" s="1" t="s">
        <v>997</v>
      </c>
      <c r="E8" s="1">
        <v>9700018471</v>
      </c>
      <c r="F8" s="8" t="s">
        <v>9</v>
      </c>
      <c r="G8" s="1" t="s">
        <v>998</v>
      </c>
      <c r="H8" s="19" t="s">
        <v>999</v>
      </c>
      <c r="I8" s="11">
        <v>46234</v>
      </c>
      <c r="J8" s="11">
        <v>46241</v>
      </c>
      <c r="K8" s="11">
        <v>46241</v>
      </c>
      <c r="L8" s="11">
        <v>46241</v>
      </c>
      <c r="M8" s="1"/>
      <c r="N8" s="6"/>
      <c r="O8" s="6"/>
      <c r="P8" s="12">
        <f t="shared" si="0"/>
        <v>46233</v>
      </c>
      <c r="Q8" s="11">
        <f t="shared" si="0"/>
        <v>46240</v>
      </c>
      <c r="R8" s="24">
        <f t="shared" si="1"/>
        <v>8</v>
      </c>
      <c r="S8" s="25">
        <f t="shared" si="2"/>
        <v>1</v>
      </c>
      <c r="T8" s="23" t="str">
        <f t="shared" si="3"/>
        <v>To Paid</v>
      </c>
      <c r="U8" s="1" t="s">
        <v>1000</v>
      </c>
    </row>
    <row r="9" spans="1:21" x14ac:dyDescent="0.3">
      <c r="A9" s="6">
        <v>8</v>
      </c>
      <c r="B9" s="1" t="s">
        <v>21</v>
      </c>
      <c r="C9" s="32" t="s">
        <v>996</v>
      </c>
      <c r="D9" s="1" t="s">
        <v>1001</v>
      </c>
      <c r="E9" s="1">
        <v>9700018471</v>
      </c>
      <c r="F9" s="8" t="s">
        <v>9</v>
      </c>
      <c r="G9" s="1" t="s">
        <v>1002</v>
      </c>
      <c r="H9" s="19" t="s">
        <v>999</v>
      </c>
      <c r="I9" s="11">
        <v>46234</v>
      </c>
      <c r="J9" s="11">
        <v>46242</v>
      </c>
      <c r="K9" s="11">
        <v>46242</v>
      </c>
      <c r="L9" s="11">
        <v>46242</v>
      </c>
      <c r="M9" s="1"/>
      <c r="N9" s="6"/>
      <c r="O9" s="6"/>
      <c r="P9" s="12">
        <f t="shared" si="0"/>
        <v>46233</v>
      </c>
      <c r="Q9" s="11">
        <f t="shared" si="0"/>
        <v>46241</v>
      </c>
      <c r="R9" s="24">
        <f t="shared" si="1"/>
        <v>9</v>
      </c>
      <c r="S9" s="25">
        <f t="shared" si="2"/>
        <v>1</v>
      </c>
      <c r="T9" s="23" t="str">
        <f t="shared" si="3"/>
        <v>To Paid</v>
      </c>
      <c r="U9" s="1" t="s">
        <v>1000</v>
      </c>
    </row>
    <row r="10" spans="1:21" x14ac:dyDescent="0.3">
      <c r="A10" s="6">
        <v>9</v>
      </c>
      <c r="B10" s="1" t="s">
        <v>21</v>
      </c>
      <c r="C10" s="32" t="s">
        <v>1003</v>
      </c>
      <c r="D10" s="1" t="s">
        <v>1004</v>
      </c>
      <c r="E10" s="1">
        <v>9700018428</v>
      </c>
      <c r="F10" s="8" t="s">
        <v>9</v>
      </c>
      <c r="G10" s="1" t="s">
        <v>1002</v>
      </c>
      <c r="H10" s="19" t="s">
        <v>999</v>
      </c>
      <c r="I10" s="11">
        <v>46234</v>
      </c>
      <c r="J10" s="11">
        <v>46240</v>
      </c>
      <c r="K10" s="11">
        <v>46240</v>
      </c>
      <c r="L10" s="11">
        <v>46240</v>
      </c>
      <c r="M10" s="1"/>
      <c r="N10" s="6"/>
      <c r="O10" s="6"/>
      <c r="P10" s="12">
        <f t="shared" si="0"/>
        <v>46233</v>
      </c>
      <c r="Q10" s="11">
        <f t="shared" si="0"/>
        <v>46239</v>
      </c>
      <c r="R10" s="24">
        <f t="shared" si="1"/>
        <v>7</v>
      </c>
      <c r="S10" s="25">
        <f t="shared" si="2"/>
        <v>1</v>
      </c>
      <c r="T10" s="23" t="str">
        <f t="shared" si="3"/>
        <v>To Paid</v>
      </c>
      <c r="U10" s="1" t="s">
        <v>1000</v>
      </c>
    </row>
    <row r="11" spans="1:21" x14ac:dyDescent="0.3">
      <c r="A11" s="6">
        <v>10</v>
      </c>
      <c r="B11" s="1" t="s">
        <v>21</v>
      </c>
      <c r="C11" s="32" t="s">
        <v>1005</v>
      </c>
      <c r="D11" s="1" t="s">
        <v>1006</v>
      </c>
      <c r="E11" s="1">
        <v>9700018427</v>
      </c>
      <c r="F11" s="8" t="s">
        <v>9</v>
      </c>
      <c r="G11" s="1" t="s">
        <v>1002</v>
      </c>
      <c r="H11" s="19" t="s">
        <v>999</v>
      </c>
      <c r="I11" s="11">
        <v>46234</v>
      </c>
      <c r="J11" s="11">
        <v>46240</v>
      </c>
      <c r="K11" s="11">
        <v>46240</v>
      </c>
      <c r="L11" s="11">
        <v>46240</v>
      </c>
      <c r="M11" s="1"/>
      <c r="N11" s="6"/>
      <c r="O11" s="6"/>
      <c r="P11" s="12">
        <f t="shared" si="0"/>
        <v>46233</v>
      </c>
      <c r="Q11" s="11">
        <f t="shared" si="0"/>
        <v>46239</v>
      </c>
      <c r="R11" s="24">
        <f t="shared" si="1"/>
        <v>7</v>
      </c>
      <c r="S11" s="25">
        <f t="shared" si="2"/>
        <v>1</v>
      </c>
      <c r="T11" s="23" t="str">
        <f t="shared" si="3"/>
        <v>To Paid</v>
      </c>
      <c r="U11" s="1"/>
    </row>
    <row r="12" spans="1:21" x14ac:dyDescent="0.3">
      <c r="A12" s="6">
        <v>11</v>
      </c>
      <c r="B12" s="1" t="s">
        <v>21</v>
      </c>
      <c r="C12" s="1"/>
      <c r="D12" s="1" t="s">
        <v>1007</v>
      </c>
      <c r="E12" s="1">
        <v>9700018533</v>
      </c>
      <c r="F12" s="8" t="s">
        <v>9</v>
      </c>
      <c r="G12" s="1" t="s">
        <v>361</v>
      </c>
      <c r="H12" s="19" t="s">
        <v>1008</v>
      </c>
      <c r="I12" s="11">
        <v>46246</v>
      </c>
      <c r="J12" s="11"/>
      <c r="K12" s="11"/>
      <c r="L12" s="11"/>
      <c r="M12" s="1"/>
      <c r="N12" s="6"/>
      <c r="O12" s="6"/>
      <c r="P12" s="12">
        <f t="shared" si="0"/>
        <v>46245</v>
      </c>
      <c r="Q12" s="11">
        <f t="shared" si="0"/>
        <v>-1</v>
      </c>
      <c r="R12" s="24">
        <f t="shared" si="1"/>
        <v>-46245</v>
      </c>
      <c r="S12" s="25">
        <f t="shared" si="2"/>
        <v>1</v>
      </c>
      <c r="T12" s="23" t="str">
        <f t="shared" si="3"/>
        <v>No</v>
      </c>
      <c r="U12" s="1" t="s">
        <v>1009</v>
      </c>
    </row>
    <row r="13" spans="1:21" x14ac:dyDescent="0.3">
      <c r="A13" s="6">
        <v>12</v>
      </c>
      <c r="B13" s="1" t="s">
        <v>21</v>
      </c>
      <c r="C13" s="1"/>
      <c r="D13" s="1" t="s">
        <v>1010</v>
      </c>
      <c r="E13" s="1">
        <v>9700018533</v>
      </c>
      <c r="F13" s="8" t="s">
        <v>9</v>
      </c>
      <c r="G13" s="1" t="s">
        <v>361</v>
      </c>
      <c r="H13" s="19" t="s">
        <v>1008</v>
      </c>
      <c r="I13" s="11">
        <v>46246</v>
      </c>
      <c r="J13" s="11"/>
      <c r="K13" s="11"/>
      <c r="L13" s="11"/>
      <c r="M13" s="1"/>
      <c r="N13" s="6"/>
      <c r="O13" s="6"/>
      <c r="P13" s="12">
        <f t="shared" si="0"/>
        <v>46245</v>
      </c>
      <c r="Q13" s="11">
        <f t="shared" si="0"/>
        <v>-1</v>
      </c>
      <c r="R13" s="24">
        <f t="shared" si="1"/>
        <v>-46245</v>
      </c>
      <c r="S13" s="25">
        <f t="shared" si="2"/>
        <v>1</v>
      </c>
      <c r="T13" s="23" t="str">
        <f t="shared" ref="T13:T66" si="4">IF(R13&gt;0,"To Paid","No")</f>
        <v>No</v>
      </c>
      <c r="U13" s="1" t="s">
        <v>1009</v>
      </c>
    </row>
    <row r="14" spans="1:21" x14ac:dyDescent="0.3">
      <c r="A14" s="6">
        <v>13</v>
      </c>
      <c r="B14" s="1" t="s">
        <v>21</v>
      </c>
      <c r="C14" s="1"/>
      <c r="D14" s="1" t="s">
        <v>1011</v>
      </c>
      <c r="E14" s="1">
        <v>9700018533</v>
      </c>
      <c r="F14" s="8" t="s">
        <v>9</v>
      </c>
      <c r="G14" s="1" t="s">
        <v>369</v>
      </c>
      <c r="H14" s="19" t="s">
        <v>1008</v>
      </c>
      <c r="I14" s="11">
        <v>46246</v>
      </c>
      <c r="J14" s="11"/>
      <c r="K14" s="11"/>
      <c r="L14" s="11"/>
      <c r="M14" s="1"/>
      <c r="N14" s="6"/>
      <c r="O14" s="6"/>
      <c r="P14" s="12">
        <f t="shared" si="0"/>
        <v>46245</v>
      </c>
      <c r="Q14" s="11">
        <f t="shared" si="0"/>
        <v>-1</v>
      </c>
      <c r="R14" s="24">
        <f t="shared" si="1"/>
        <v>-46245</v>
      </c>
      <c r="S14" s="25">
        <f t="shared" si="2"/>
        <v>1</v>
      </c>
      <c r="T14" s="23" t="str">
        <f t="shared" si="4"/>
        <v>No</v>
      </c>
      <c r="U14" s="1" t="s">
        <v>1012</v>
      </c>
    </row>
    <row r="15" spans="1:21" x14ac:dyDescent="0.3">
      <c r="A15" s="6">
        <v>14</v>
      </c>
      <c r="B15" s="1" t="s">
        <v>21</v>
      </c>
      <c r="C15" s="1"/>
      <c r="D15" s="1" t="s">
        <v>1013</v>
      </c>
      <c r="E15" s="1">
        <v>9700018533</v>
      </c>
      <c r="F15" s="8" t="s">
        <v>9</v>
      </c>
      <c r="G15" s="1" t="s">
        <v>1002</v>
      </c>
      <c r="H15" s="19" t="s">
        <v>1008</v>
      </c>
      <c r="I15" s="11">
        <v>46246</v>
      </c>
      <c r="J15" s="11"/>
      <c r="K15" s="11"/>
      <c r="L15" s="11"/>
      <c r="M15" s="1"/>
      <c r="N15" s="6"/>
      <c r="O15" s="6"/>
      <c r="P15" s="12">
        <f t="shared" si="0"/>
        <v>46245</v>
      </c>
      <c r="Q15" s="11">
        <f t="shared" si="0"/>
        <v>-1</v>
      </c>
      <c r="R15" s="24">
        <f t="shared" si="1"/>
        <v>-46245</v>
      </c>
      <c r="S15" s="25">
        <f t="shared" si="2"/>
        <v>1</v>
      </c>
      <c r="T15" s="23" t="str">
        <f t="shared" si="4"/>
        <v>No</v>
      </c>
      <c r="U15" s="1" t="s">
        <v>1009</v>
      </c>
    </row>
    <row r="16" spans="1:21" x14ac:dyDescent="0.3">
      <c r="A16" s="6">
        <v>15</v>
      </c>
      <c r="B16" s="1" t="s">
        <v>21</v>
      </c>
      <c r="C16" s="1"/>
      <c r="D16" s="1" t="s">
        <v>1014</v>
      </c>
      <c r="E16" s="1">
        <v>9700018533</v>
      </c>
      <c r="F16" s="8" t="s">
        <v>9</v>
      </c>
      <c r="G16" s="1" t="s">
        <v>1015</v>
      </c>
      <c r="H16" s="19" t="s">
        <v>1008</v>
      </c>
      <c r="I16" s="11">
        <v>46246</v>
      </c>
      <c r="J16" s="11"/>
      <c r="K16" s="11"/>
      <c r="L16" s="11"/>
      <c r="M16" s="1"/>
      <c r="N16" s="6"/>
      <c r="O16" s="6"/>
      <c r="P16" s="12">
        <f t="shared" si="0"/>
        <v>46245</v>
      </c>
      <c r="Q16" s="11">
        <f t="shared" si="0"/>
        <v>-1</v>
      </c>
      <c r="R16" s="24">
        <f t="shared" si="1"/>
        <v>-46245</v>
      </c>
      <c r="S16" s="25">
        <f t="shared" si="2"/>
        <v>1</v>
      </c>
      <c r="T16" s="23" t="str">
        <f t="shared" si="4"/>
        <v>No</v>
      </c>
      <c r="U16" s="1" t="s">
        <v>1009</v>
      </c>
    </row>
    <row r="17" spans="1:21" x14ac:dyDescent="0.3">
      <c r="A17" s="6">
        <v>16</v>
      </c>
      <c r="B17" s="1" t="s">
        <v>21</v>
      </c>
      <c r="C17" s="1" t="s">
        <v>1016</v>
      </c>
      <c r="D17" s="1" t="s">
        <v>1017</v>
      </c>
      <c r="E17" s="1">
        <v>9700018059</v>
      </c>
      <c r="F17" s="8" t="s">
        <v>9</v>
      </c>
      <c r="G17" s="1" t="s">
        <v>24</v>
      </c>
      <c r="H17" s="19" t="s">
        <v>999</v>
      </c>
      <c r="I17" s="11">
        <v>46201</v>
      </c>
      <c r="J17" s="11">
        <v>46233</v>
      </c>
      <c r="K17" s="11">
        <v>46233</v>
      </c>
      <c r="L17" s="11">
        <v>46233</v>
      </c>
      <c r="M17" s="1"/>
      <c r="N17" s="6"/>
      <c r="O17" s="6"/>
      <c r="P17" s="12">
        <f t="shared" si="0"/>
        <v>46200</v>
      </c>
      <c r="Q17" s="11">
        <f t="shared" si="0"/>
        <v>46232</v>
      </c>
      <c r="R17" s="24">
        <f t="shared" si="1"/>
        <v>33</v>
      </c>
      <c r="S17" s="25">
        <f t="shared" si="2"/>
        <v>1</v>
      </c>
      <c r="T17" s="23" t="str">
        <f t="shared" si="4"/>
        <v>To Paid</v>
      </c>
      <c r="U17" s="1" t="s">
        <v>1018</v>
      </c>
    </row>
    <row r="18" spans="1:21" x14ac:dyDescent="0.3">
      <c r="A18" s="6">
        <v>17</v>
      </c>
      <c r="B18" s="1" t="s">
        <v>21</v>
      </c>
      <c r="C18" s="1" t="s">
        <v>1016</v>
      </c>
      <c r="D18" s="1" t="s">
        <v>1019</v>
      </c>
      <c r="E18" s="1">
        <v>9700018059</v>
      </c>
      <c r="F18" s="8" t="s">
        <v>9</v>
      </c>
      <c r="G18" s="1" t="s">
        <v>24</v>
      </c>
      <c r="H18" s="19" t="s">
        <v>999</v>
      </c>
      <c r="I18" s="11">
        <v>46201</v>
      </c>
      <c r="J18" s="11">
        <v>46232</v>
      </c>
      <c r="K18" s="11">
        <v>46232</v>
      </c>
      <c r="L18" s="11">
        <v>46232</v>
      </c>
      <c r="M18" s="1"/>
      <c r="N18" s="6"/>
      <c r="O18" s="6"/>
      <c r="P18" s="12">
        <f t="shared" si="0"/>
        <v>46200</v>
      </c>
      <c r="Q18" s="11">
        <f t="shared" si="0"/>
        <v>46231</v>
      </c>
      <c r="R18" s="24">
        <f t="shared" si="1"/>
        <v>32</v>
      </c>
      <c r="S18" s="25">
        <f t="shared" si="2"/>
        <v>1</v>
      </c>
      <c r="T18" s="23" t="str">
        <f t="shared" si="4"/>
        <v>To Paid</v>
      </c>
      <c r="U18" s="1" t="s">
        <v>1018</v>
      </c>
    </row>
    <row r="19" spans="1:21" x14ac:dyDescent="0.3">
      <c r="A19" s="6">
        <v>18</v>
      </c>
      <c r="B19" s="1" t="s">
        <v>21</v>
      </c>
      <c r="C19" s="1" t="s">
        <v>1016</v>
      </c>
      <c r="D19" s="1" t="s">
        <v>1020</v>
      </c>
      <c r="E19" s="1">
        <v>9700018059</v>
      </c>
      <c r="F19" s="8" t="s">
        <v>9</v>
      </c>
      <c r="G19" s="1" t="s">
        <v>24</v>
      </c>
      <c r="H19" s="19" t="s">
        <v>999</v>
      </c>
      <c r="I19" s="11">
        <v>46201</v>
      </c>
      <c r="J19" s="11">
        <v>46234</v>
      </c>
      <c r="K19" s="11">
        <v>46235</v>
      </c>
      <c r="L19" s="11">
        <v>46235</v>
      </c>
      <c r="M19" s="1"/>
      <c r="N19" s="6"/>
      <c r="O19" s="6"/>
      <c r="P19" s="12">
        <f t="shared" ref="P19:Q66" si="5">I19+N19-1</f>
        <v>46200</v>
      </c>
      <c r="Q19" s="11">
        <f t="shared" si="5"/>
        <v>46233</v>
      </c>
      <c r="R19" s="24">
        <f t="shared" si="1"/>
        <v>34</v>
      </c>
      <c r="S19" s="25">
        <f t="shared" si="2"/>
        <v>2</v>
      </c>
      <c r="T19" s="23" t="str">
        <f t="shared" si="4"/>
        <v>To Paid</v>
      </c>
      <c r="U19" s="1" t="s">
        <v>1018</v>
      </c>
    </row>
    <row r="20" spans="1:21" x14ac:dyDescent="0.3">
      <c r="A20" s="6">
        <v>19</v>
      </c>
      <c r="B20" s="1" t="s">
        <v>21</v>
      </c>
      <c r="C20" s="1" t="s">
        <v>1016</v>
      </c>
      <c r="D20" s="1" t="s">
        <v>1021</v>
      </c>
      <c r="E20" s="1">
        <v>9700018059</v>
      </c>
      <c r="F20" s="8" t="s">
        <v>9</v>
      </c>
      <c r="G20" s="1" t="s">
        <v>24</v>
      </c>
      <c r="H20" s="19" t="s">
        <v>999</v>
      </c>
      <c r="I20" s="11">
        <v>46201</v>
      </c>
      <c r="J20" s="11">
        <v>46233</v>
      </c>
      <c r="K20" s="11">
        <v>46234</v>
      </c>
      <c r="L20" s="11">
        <v>46234</v>
      </c>
      <c r="M20" s="1"/>
      <c r="N20" s="6"/>
      <c r="O20" s="6"/>
      <c r="P20" s="12">
        <f t="shared" si="5"/>
        <v>46200</v>
      </c>
      <c r="Q20" s="11">
        <f t="shared" si="5"/>
        <v>46232</v>
      </c>
      <c r="R20" s="24">
        <f t="shared" si="1"/>
        <v>33</v>
      </c>
      <c r="S20" s="25">
        <f t="shared" si="2"/>
        <v>2</v>
      </c>
      <c r="T20" s="23" t="str">
        <f t="shared" si="4"/>
        <v>To Paid</v>
      </c>
      <c r="U20" s="1" t="s">
        <v>1018</v>
      </c>
    </row>
    <row r="21" spans="1:21" x14ac:dyDescent="0.3">
      <c r="A21" s="6">
        <v>20</v>
      </c>
      <c r="B21" s="1" t="s">
        <v>21</v>
      </c>
      <c r="C21" s="1"/>
      <c r="D21" s="1" t="s">
        <v>625</v>
      </c>
      <c r="E21" s="1">
        <v>9700018604</v>
      </c>
      <c r="F21" s="8" t="s">
        <v>9</v>
      </c>
      <c r="G21" s="1" t="s">
        <v>24</v>
      </c>
      <c r="H21" s="19" t="s">
        <v>999</v>
      </c>
      <c r="I21" s="11">
        <v>46246</v>
      </c>
      <c r="J21" s="11">
        <v>46247</v>
      </c>
      <c r="K21" s="11">
        <v>46247</v>
      </c>
      <c r="L21" s="11">
        <v>46247</v>
      </c>
      <c r="M21" s="1"/>
      <c r="N21" s="6"/>
      <c r="O21" s="6"/>
      <c r="P21" s="12">
        <f t="shared" si="5"/>
        <v>46245</v>
      </c>
      <c r="Q21" s="11">
        <f t="shared" si="5"/>
        <v>46246</v>
      </c>
      <c r="R21" s="24">
        <f t="shared" si="1"/>
        <v>2</v>
      </c>
      <c r="S21" s="25">
        <f t="shared" si="2"/>
        <v>1</v>
      </c>
      <c r="T21" s="23" t="str">
        <f t="shared" si="4"/>
        <v>To Paid</v>
      </c>
      <c r="U21" s="1"/>
    </row>
    <row r="22" spans="1:21" x14ac:dyDescent="0.3">
      <c r="A22" s="6">
        <v>21</v>
      </c>
      <c r="B22" s="1" t="s">
        <v>21</v>
      </c>
      <c r="C22" s="1"/>
      <c r="D22" s="1" t="s">
        <v>625</v>
      </c>
      <c r="E22" s="1">
        <v>9700018605</v>
      </c>
      <c r="F22" s="8" t="s">
        <v>9</v>
      </c>
      <c r="G22" s="1" t="s">
        <v>24</v>
      </c>
      <c r="H22" s="19" t="s">
        <v>999</v>
      </c>
      <c r="I22" s="11">
        <v>46250</v>
      </c>
      <c r="J22" s="11">
        <v>46251</v>
      </c>
      <c r="K22" s="11">
        <v>46251</v>
      </c>
      <c r="L22" s="11">
        <v>46251</v>
      </c>
      <c r="M22" s="1"/>
      <c r="N22" s="6"/>
      <c r="O22" s="6"/>
      <c r="P22" s="12">
        <f t="shared" si="5"/>
        <v>46249</v>
      </c>
      <c r="Q22" s="11">
        <f t="shared" si="5"/>
        <v>46250</v>
      </c>
      <c r="R22" s="24">
        <f t="shared" si="1"/>
        <v>2</v>
      </c>
      <c r="S22" s="25">
        <f t="shared" si="2"/>
        <v>1</v>
      </c>
      <c r="T22" s="23" t="str">
        <f t="shared" si="4"/>
        <v>To Paid</v>
      </c>
      <c r="U22" s="1"/>
    </row>
    <row r="23" spans="1:21" x14ac:dyDescent="0.3">
      <c r="A23" s="6">
        <v>22</v>
      </c>
      <c r="B23" s="1" t="s">
        <v>21</v>
      </c>
      <c r="C23" s="1"/>
      <c r="D23" s="1" t="s">
        <v>625</v>
      </c>
      <c r="E23" s="1">
        <v>9700018672</v>
      </c>
      <c r="F23" s="8" t="s">
        <v>9</v>
      </c>
      <c r="G23" s="1" t="s">
        <v>24</v>
      </c>
      <c r="H23" s="19" t="s">
        <v>999</v>
      </c>
      <c r="I23" s="11">
        <v>46258</v>
      </c>
      <c r="J23" s="11">
        <v>46258</v>
      </c>
      <c r="K23" s="11"/>
      <c r="L23" s="11"/>
      <c r="M23" s="1"/>
      <c r="N23" s="6"/>
      <c r="O23" s="6"/>
      <c r="P23" s="12">
        <f t="shared" si="5"/>
        <v>46257</v>
      </c>
      <c r="Q23" s="11">
        <f t="shared" si="5"/>
        <v>46257</v>
      </c>
      <c r="R23" s="24">
        <f t="shared" si="1"/>
        <v>1</v>
      </c>
      <c r="S23" s="25">
        <f t="shared" si="2"/>
        <v>-46257</v>
      </c>
      <c r="T23" s="23" t="str">
        <f t="shared" si="4"/>
        <v>To Paid</v>
      </c>
      <c r="U23" s="1"/>
    </row>
    <row r="24" spans="1:21" x14ac:dyDescent="0.3">
      <c r="A24" s="6">
        <v>23</v>
      </c>
      <c r="B24" s="1" t="s">
        <v>21</v>
      </c>
      <c r="C24" s="1"/>
      <c r="D24" s="1" t="s">
        <v>625</v>
      </c>
      <c r="E24" s="1">
        <v>9700018673</v>
      </c>
      <c r="F24" s="8" t="s">
        <v>9</v>
      </c>
      <c r="G24" s="1" t="s">
        <v>24</v>
      </c>
      <c r="H24" s="19" t="s">
        <v>999</v>
      </c>
      <c r="I24" s="11">
        <v>46259</v>
      </c>
      <c r="J24" s="11">
        <v>46260</v>
      </c>
      <c r="K24" s="11"/>
      <c r="L24" s="11"/>
      <c r="M24" s="1"/>
      <c r="N24" s="6"/>
      <c r="O24" s="6"/>
      <c r="P24" s="12">
        <f t="shared" si="5"/>
        <v>46258</v>
      </c>
      <c r="Q24" s="11">
        <f t="shared" si="5"/>
        <v>46259</v>
      </c>
      <c r="R24" s="24">
        <f t="shared" si="1"/>
        <v>2</v>
      </c>
      <c r="S24" s="25">
        <f t="shared" si="2"/>
        <v>-46259</v>
      </c>
      <c r="T24" s="23" t="str">
        <f t="shared" si="4"/>
        <v>To Paid</v>
      </c>
      <c r="U24" s="1"/>
    </row>
    <row r="25" spans="1:21" x14ac:dyDescent="0.3">
      <c r="A25" s="6">
        <v>24</v>
      </c>
      <c r="B25" s="1" t="s">
        <v>21</v>
      </c>
      <c r="C25" s="1"/>
      <c r="D25" s="1" t="s">
        <v>1022</v>
      </c>
      <c r="E25" s="1">
        <v>9700018624</v>
      </c>
      <c r="F25" s="8" t="s">
        <v>9</v>
      </c>
      <c r="G25" s="1" t="s">
        <v>24</v>
      </c>
      <c r="H25" s="19" t="s">
        <v>1008</v>
      </c>
      <c r="I25" s="11">
        <v>46270</v>
      </c>
      <c r="J25" s="11"/>
      <c r="K25" s="11"/>
      <c r="L25" s="11"/>
      <c r="M25" s="1"/>
      <c r="N25" s="6">
        <v>7</v>
      </c>
      <c r="O25" s="6">
        <v>7</v>
      </c>
      <c r="P25" s="12">
        <f t="shared" si="5"/>
        <v>46276</v>
      </c>
      <c r="Q25" s="11">
        <f t="shared" si="5"/>
        <v>6</v>
      </c>
      <c r="R25" s="24">
        <f t="shared" si="1"/>
        <v>-46276</v>
      </c>
      <c r="S25" s="25">
        <f t="shared" si="2"/>
        <v>-6</v>
      </c>
      <c r="T25" s="23" t="str">
        <f t="shared" si="4"/>
        <v>No</v>
      </c>
      <c r="U25" s="1"/>
    </row>
    <row r="26" spans="1:21" x14ac:dyDescent="0.3">
      <c r="A26" s="6">
        <v>25</v>
      </c>
      <c r="B26" s="1" t="s">
        <v>21</v>
      </c>
      <c r="C26" s="1"/>
      <c r="D26" s="1" t="s">
        <v>1023</v>
      </c>
      <c r="E26" s="1">
        <v>9700018624</v>
      </c>
      <c r="F26" s="8" t="s">
        <v>9</v>
      </c>
      <c r="G26" s="1" t="s">
        <v>24</v>
      </c>
      <c r="H26" s="19" t="s">
        <v>1008</v>
      </c>
      <c r="I26" s="11">
        <v>46270</v>
      </c>
      <c r="J26" s="11"/>
      <c r="K26" s="11"/>
      <c r="L26" s="11"/>
      <c r="M26" s="1"/>
      <c r="N26" s="6">
        <v>7</v>
      </c>
      <c r="O26" s="6">
        <v>7</v>
      </c>
      <c r="P26" s="12">
        <f t="shared" si="5"/>
        <v>46276</v>
      </c>
      <c r="Q26" s="11">
        <f t="shared" si="5"/>
        <v>6</v>
      </c>
      <c r="R26" s="24">
        <f t="shared" si="1"/>
        <v>-46276</v>
      </c>
      <c r="S26" s="25">
        <f t="shared" si="2"/>
        <v>-6</v>
      </c>
      <c r="T26" s="23" t="str">
        <f t="shared" si="4"/>
        <v>No</v>
      </c>
      <c r="U26" s="1"/>
    </row>
    <row r="27" spans="1:21" x14ac:dyDescent="0.3">
      <c r="A27" s="6">
        <v>26</v>
      </c>
      <c r="B27" s="1" t="s">
        <v>21</v>
      </c>
      <c r="C27" s="1"/>
      <c r="D27" s="1" t="s">
        <v>1024</v>
      </c>
      <c r="E27" s="1">
        <v>9700018624</v>
      </c>
      <c r="F27" s="8" t="s">
        <v>9</v>
      </c>
      <c r="G27" s="1" t="s">
        <v>24</v>
      </c>
      <c r="H27" s="19" t="s">
        <v>1008</v>
      </c>
      <c r="I27" s="11">
        <v>46270</v>
      </c>
      <c r="J27" s="11"/>
      <c r="K27" s="11"/>
      <c r="L27" s="11"/>
      <c r="M27" s="1"/>
      <c r="N27" s="6">
        <v>7</v>
      </c>
      <c r="O27" s="6">
        <v>7</v>
      </c>
      <c r="P27" s="12">
        <f t="shared" si="5"/>
        <v>46276</v>
      </c>
      <c r="Q27" s="11">
        <f t="shared" si="5"/>
        <v>6</v>
      </c>
      <c r="R27" s="24">
        <f t="shared" si="1"/>
        <v>-46276</v>
      </c>
      <c r="S27" s="25">
        <f t="shared" si="2"/>
        <v>-6</v>
      </c>
      <c r="T27" s="23" t="str">
        <f t="shared" si="4"/>
        <v>No</v>
      </c>
      <c r="U27" s="1"/>
    </row>
    <row r="28" spans="1:21" x14ac:dyDescent="0.3">
      <c r="A28" s="6">
        <v>27</v>
      </c>
      <c r="B28" s="1" t="s">
        <v>21</v>
      </c>
      <c r="C28" s="1"/>
      <c r="D28" s="1" t="s">
        <v>1025</v>
      </c>
      <c r="E28" s="1">
        <v>9700018624</v>
      </c>
      <c r="F28" s="8" t="s">
        <v>9</v>
      </c>
      <c r="G28" s="1" t="s">
        <v>24</v>
      </c>
      <c r="H28" s="19" t="s">
        <v>1008</v>
      </c>
      <c r="I28" s="11">
        <v>46270</v>
      </c>
      <c r="J28" s="11"/>
      <c r="K28" s="11"/>
      <c r="L28" s="11"/>
      <c r="M28" s="1"/>
      <c r="N28" s="6">
        <v>7</v>
      </c>
      <c r="O28" s="6">
        <v>7</v>
      </c>
      <c r="P28" s="12">
        <f t="shared" si="5"/>
        <v>46276</v>
      </c>
      <c r="Q28" s="11">
        <f t="shared" si="5"/>
        <v>6</v>
      </c>
      <c r="R28" s="24">
        <f t="shared" si="1"/>
        <v>-46276</v>
      </c>
      <c r="S28" s="25">
        <f t="shared" si="2"/>
        <v>-6</v>
      </c>
      <c r="T28" s="23" t="str">
        <f t="shared" si="4"/>
        <v>No</v>
      </c>
      <c r="U28" s="1"/>
    </row>
    <row r="29" spans="1:21" x14ac:dyDescent="0.3">
      <c r="A29" s="6">
        <v>28</v>
      </c>
      <c r="B29" s="1" t="s">
        <v>21</v>
      </c>
      <c r="D29" s="1" t="s">
        <v>625</v>
      </c>
      <c r="E29" s="1">
        <v>9700018674</v>
      </c>
      <c r="F29" s="8" t="s">
        <v>9</v>
      </c>
      <c r="G29" s="1" t="s">
        <v>24</v>
      </c>
      <c r="H29" s="19" t="s">
        <v>999</v>
      </c>
      <c r="I29" s="11">
        <v>46261</v>
      </c>
      <c r="J29" s="11">
        <v>46261</v>
      </c>
      <c r="K29" s="11">
        <v>46261</v>
      </c>
      <c r="L29" s="11">
        <v>46261</v>
      </c>
      <c r="M29" s="1"/>
      <c r="N29" s="6">
        <v>3</v>
      </c>
      <c r="O29" s="6">
        <v>3</v>
      </c>
      <c r="P29" s="12">
        <f t="shared" si="5"/>
        <v>46263</v>
      </c>
      <c r="Q29" s="11">
        <f t="shared" si="5"/>
        <v>46263</v>
      </c>
      <c r="R29" s="24">
        <f t="shared" si="1"/>
        <v>-2</v>
      </c>
      <c r="S29" s="25">
        <f t="shared" ref="S29:S66" si="6">L29-Q29</f>
        <v>-2</v>
      </c>
      <c r="T29" s="23" t="str">
        <f t="shared" si="4"/>
        <v>No</v>
      </c>
      <c r="U29" s="1"/>
    </row>
    <row r="30" spans="1:21" x14ac:dyDescent="0.3">
      <c r="A30" s="6">
        <v>29</v>
      </c>
      <c r="B30" s="1" t="s">
        <v>21</v>
      </c>
      <c r="C30" s="1"/>
      <c r="D30" s="1" t="s">
        <v>625</v>
      </c>
      <c r="E30" s="1">
        <v>9700018724</v>
      </c>
      <c r="F30" s="8" t="s">
        <v>9</v>
      </c>
      <c r="G30" s="1" t="s">
        <v>24</v>
      </c>
      <c r="H30" s="19" t="s">
        <v>999</v>
      </c>
      <c r="I30" s="11">
        <v>46261</v>
      </c>
      <c r="J30" s="11">
        <v>46272</v>
      </c>
      <c r="K30" s="11"/>
      <c r="L30" s="11"/>
      <c r="M30" s="1"/>
      <c r="N30" s="6"/>
      <c r="O30" s="6"/>
      <c r="P30" s="12">
        <f t="shared" si="5"/>
        <v>46260</v>
      </c>
      <c r="Q30" s="11">
        <f t="shared" si="5"/>
        <v>46271</v>
      </c>
      <c r="R30" s="24">
        <f t="shared" si="1"/>
        <v>12</v>
      </c>
      <c r="S30" s="25">
        <f t="shared" si="6"/>
        <v>-46271</v>
      </c>
      <c r="T30" s="23" t="str">
        <f t="shared" si="4"/>
        <v>To Paid</v>
      </c>
      <c r="U30" s="1"/>
    </row>
    <row r="31" spans="1:21" x14ac:dyDescent="0.3">
      <c r="A31" s="6">
        <v>30</v>
      </c>
      <c r="B31" s="1" t="s">
        <v>21</v>
      </c>
      <c r="C31" s="1" t="s">
        <v>1026</v>
      </c>
      <c r="D31" s="1" t="s">
        <v>1027</v>
      </c>
      <c r="E31" s="1">
        <v>9700018787</v>
      </c>
      <c r="F31" s="8" t="s">
        <v>9</v>
      </c>
      <c r="G31" s="1" t="s">
        <v>24</v>
      </c>
      <c r="H31" s="19" t="s">
        <v>999</v>
      </c>
      <c r="I31" s="11">
        <v>46267</v>
      </c>
      <c r="J31" s="11">
        <v>46272</v>
      </c>
      <c r="K31" s="11">
        <v>46272</v>
      </c>
      <c r="L31" s="11">
        <v>46272</v>
      </c>
      <c r="M31" s="1"/>
      <c r="N31" s="6"/>
      <c r="O31" s="6"/>
      <c r="P31" s="12">
        <f t="shared" si="5"/>
        <v>46266</v>
      </c>
      <c r="Q31" s="11">
        <f t="shared" si="5"/>
        <v>46271</v>
      </c>
      <c r="R31" s="24">
        <f t="shared" si="1"/>
        <v>6</v>
      </c>
      <c r="S31" s="25">
        <f t="shared" si="6"/>
        <v>1</v>
      </c>
      <c r="T31" s="23" t="str">
        <f t="shared" si="4"/>
        <v>To Paid</v>
      </c>
      <c r="U31" s="1"/>
    </row>
    <row r="32" spans="1:21" x14ac:dyDescent="0.3">
      <c r="A32" s="6">
        <v>32</v>
      </c>
      <c r="B32" s="1" t="s">
        <v>21</v>
      </c>
      <c r="C32" s="1"/>
      <c r="D32" s="1" t="s">
        <v>1028</v>
      </c>
      <c r="E32" s="1">
        <v>9700018811</v>
      </c>
      <c r="F32" s="8" t="s">
        <v>9</v>
      </c>
      <c r="G32" s="1" t="s">
        <v>24</v>
      </c>
      <c r="H32" s="19" t="s">
        <v>983</v>
      </c>
      <c r="I32" s="11">
        <v>46290</v>
      </c>
      <c r="J32" s="11"/>
      <c r="K32" s="11"/>
      <c r="L32" s="11"/>
      <c r="M32" s="1"/>
      <c r="N32" s="6"/>
      <c r="O32" s="6"/>
      <c r="P32" s="12">
        <f t="shared" si="5"/>
        <v>46289</v>
      </c>
      <c r="Q32" s="11">
        <f t="shared" si="5"/>
        <v>-1</v>
      </c>
      <c r="R32" s="24">
        <f t="shared" ref="R32:R66" si="7">J32-P32</f>
        <v>-46289</v>
      </c>
      <c r="S32" s="25">
        <f t="shared" si="6"/>
        <v>1</v>
      </c>
      <c r="T32" s="23" t="str">
        <f t="shared" si="4"/>
        <v>No</v>
      </c>
      <c r="U32" s="1"/>
    </row>
    <row r="33" spans="1:21" x14ac:dyDescent="0.3">
      <c r="A33" s="6">
        <v>33</v>
      </c>
      <c r="B33" s="1" t="s">
        <v>21</v>
      </c>
      <c r="C33" s="1"/>
      <c r="D33" s="1" t="s">
        <v>1029</v>
      </c>
      <c r="E33" s="1">
        <v>9700018811</v>
      </c>
      <c r="F33" s="8" t="s">
        <v>9</v>
      </c>
      <c r="G33" s="1" t="s">
        <v>24</v>
      </c>
      <c r="H33" s="19" t="s">
        <v>983</v>
      </c>
      <c r="I33" s="11">
        <v>46290</v>
      </c>
      <c r="J33" s="11"/>
      <c r="K33" s="11"/>
      <c r="L33" s="11"/>
      <c r="M33" s="1"/>
      <c r="N33" s="6"/>
      <c r="O33" s="6"/>
      <c r="P33" s="12">
        <f t="shared" si="5"/>
        <v>46289</v>
      </c>
      <c r="Q33" s="11">
        <f t="shared" si="5"/>
        <v>-1</v>
      </c>
      <c r="R33" s="24">
        <f t="shared" si="7"/>
        <v>-46289</v>
      </c>
      <c r="S33" s="25">
        <f t="shared" si="6"/>
        <v>1</v>
      </c>
      <c r="T33" s="23" t="str">
        <f t="shared" si="4"/>
        <v>No</v>
      </c>
      <c r="U33" s="1"/>
    </row>
    <row r="34" spans="1:21" x14ac:dyDescent="0.3">
      <c r="A34" s="6">
        <v>34</v>
      </c>
      <c r="B34" s="1" t="s">
        <v>21</v>
      </c>
      <c r="C34" s="1"/>
      <c r="D34" s="1" t="s">
        <v>1030</v>
      </c>
      <c r="E34" s="1">
        <v>9700018878</v>
      </c>
      <c r="F34" s="8" t="s">
        <v>9</v>
      </c>
      <c r="G34" s="1" t="s">
        <v>24</v>
      </c>
      <c r="H34" s="19" t="s">
        <v>1008</v>
      </c>
      <c r="I34" s="11">
        <v>46311</v>
      </c>
      <c r="J34" s="11"/>
      <c r="K34" s="11"/>
      <c r="L34" s="11"/>
      <c r="M34" s="1"/>
      <c r="N34" s="6"/>
      <c r="O34" s="6"/>
      <c r="P34" s="12">
        <f t="shared" si="5"/>
        <v>46310</v>
      </c>
      <c r="Q34" s="11">
        <f t="shared" si="5"/>
        <v>-1</v>
      </c>
      <c r="R34" s="24">
        <f t="shared" si="7"/>
        <v>-46310</v>
      </c>
      <c r="S34" s="25">
        <f t="shared" si="6"/>
        <v>1</v>
      </c>
      <c r="T34" s="23" t="str">
        <f t="shared" si="4"/>
        <v>No</v>
      </c>
      <c r="U34" s="1"/>
    </row>
    <row r="35" spans="1:21" x14ac:dyDescent="0.3">
      <c r="A35" s="6">
        <v>35</v>
      </c>
      <c r="B35" s="1" t="s">
        <v>21</v>
      </c>
      <c r="C35" s="1"/>
      <c r="D35" s="1" t="s">
        <v>1031</v>
      </c>
      <c r="E35" s="1">
        <v>9700018878</v>
      </c>
      <c r="F35" s="8" t="s">
        <v>9</v>
      </c>
      <c r="G35" s="1" t="s">
        <v>24</v>
      </c>
      <c r="H35" s="19" t="s">
        <v>1008</v>
      </c>
      <c r="I35" s="11">
        <v>46311</v>
      </c>
      <c r="J35" s="11"/>
      <c r="K35" s="11"/>
      <c r="L35" s="11"/>
      <c r="M35" s="1"/>
      <c r="N35" s="6"/>
      <c r="O35" s="6"/>
      <c r="P35" s="12">
        <f t="shared" si="5"/>
        <v>46310</v>
      </c>
      <c r="Q35" s="11">
        <f t="shared" si="5"/>
        <v>-1</v>
      </c>
      <c r="R35" s="24">
        <f t="shared" si="7"/>
        <v>-46310</v>
      </c>
      <c r="S35" s="25">
        <f t="shared" si="6"/>
        <v>1</v>
      </c>
      <c r="T35" s="23" t="str">
        <f t="shared" si="4"/>
        <v>No</v>
      </c>
      <c r="U35" s="1"/>
    </row>
    <row r="36" spans="1:21" x14ac:dyDescent="0.3">
      <c r="A36" s="6">
        <v>36</v>
      </c>
      <c r="B36" s="1" t="s">
        <v>21</v>
      </c>
      <c r="C36" s="1"/>
      <c r="D36" s="1" t="s">
        <v>1032</v>
      </c>
      <c r="E36" s="1">
        <v>9700018878</v>
      </c>
      <c r="F36" s="8" t="s">
        <v>9</v>
      </c>
      <c r="G36" s="1" t="s">
        <v>24</v>
      </c>
      <c r="H36" s="19" t="s">
        <v>1008</v>
      </c>
      <c r="I36" s="11">
        <v>46311</v>
      </c>
      <c r="J36" s="11"/>
      <c r="K36" s="11"/>
      <c r="L36" s="11"/>
      <c r="M36" s="1"/>
      <c r="N36" s="6"/>
      <c r="O36" s="6"/>
      <c r="P36" s="12">
        <f t="shared" si="5"/>
        <v>46310</v>
      </c>
      <c r="Q36" s="11">
        <f t="shared" si="5"/>
        <v>-1</v>
      </c>
      <c r="R36" s="24">
        <f t="shared" si="7"/>
        <v>-46310</v>
      </c>
      <c r="S36" s="25">
        <f t="shared" si="6"/>
        <v>1</v>
      </c>
      <c r="T36" s="23" t="str">
        <f t="shared" si="4"/>
        <v>No</v>
      </c>
      <c r="U36" s="1"/>
    </row>
    <row r="37" spans="1:21" x14ac:dyDescent="0.3">
      <c r="A37" s="6">
        <v>37</v>
      </c>
      <c r="B37" s="1" t="s">
        <v>21</v>
      </c>
      <c r="C37" s="1"/>
      <c r="D37" s="1" t="s">
        <v>1033</v>
      </c>
      <c r="E37" s="1">
        <v>9700018878</v>
      </c>
      <c r="F37" s="8" t="s">
        <v>9</v>
      </c>
      <c r="G37" s="1" t="s">
        <v>24</v>
      </c>
      <c r="H37" s="19" t="s">
        <v>1008</v>
      </c>
      <c r="I37" s="11">
        <v>46311</v>
      </c>
      <c r="J37" s="11"/>
      <c r="K37" s="11"/>
      <c r="L37" s="11"/>
      <c r="M37" s="1"/>
      <c r="N37" s="6"/>
      <c r="O37" s="6"/>
      <c r="P37" s="12">
        <f t="shared" si="5"/>
        <v>46310</v>
      </c>
      <c r="Q37" s="11">
        <f t="shared" si="5"/>
        <v>-1</v>
      </c>
      <c r="R37" s="24">
        <f t="shared" si="7"/>
        <v>-46310</v>
      </c>
      <c r="S37" s="25">
        <f t="shared" si="6"/>
        <v>1</v>
      </c>
      <c r="T37" s="23" t="str">
        <f t="shared" si="4"/>
        <v>No</v>
      </c>
      <c r="U37" s="1"/>
    </row>
    <row r="38" spans="1:21" x14ac:dyDescent="0.3">
      <c r="A38" s="6">
        <v>38</v>
      </c>
      <c r="B38" s="1" t="s">
        <v>21</v>
      </c>
      <c r="C38" s="1"/>
      <c r="D38" s="1" t="s">
        <v>1034</v>
      </c>
      <c r="E38" s="1">
        <v>9700018878</v>
      </c>
      <c r="F38" s="8" t="s">
        <v>9</v>
      </c>
      <c r="G38" s="1" t="s">
        <v>24</v>
      </c>
      <c r="H38" s="19" t="s">
        <v>1008</v>
      </c>
      <c r="I38" s="11">
        <v>46311</v>
      </c>
      <c r="J38" s="11"/>
      <c r="K38" s="11"/>
      <c r="L38" s="11"/>
      <c r="M38" s="1"/>
      <c r="N38" s="6"/>
      <c r="O38" s="6"/>
      <c r="P38" s="12">
        <f t="shared" si="5"/>
        <v>46310</v>
      </c>
      <c r="Q38" s="11">
        <f t="shared" si="5"/>
        <v>-1</v>
      </c>
      <c r="R38" s="24">
        <f t="shared" si="7"/>
        <v>-46310</v>
      </c>
      <c r="S38" s="25">
        <f t="shared" si="6"/>
        <v>1</v>
      </c>
      <c r="T38" s="23" t="str">
        <f t="shared" si="4"/>
        <v>No</v>
      </c>
      <c r="U38" s="1"/>
    </row>
    <row r="39" spans="1:21" x14ac:dyDescent="0.3">
      <c r="A39" s="6">
        <v>39</v>
      </c>
      <c r="B39" s="1" t="s">
        <v>21</v>
      </c>
      <c r="C39" s="1" t="s">
        <v>1035</v>
      </c>
      <c r="D39" s="1" t="s">
        <v>1036</v>
      </c>
      <c r="E39" s="1">
        <v>9700019004</v>
      </c>
      <c r="F39" s="8" t="s">
        <v>9</v>
      </c>
      <c r="G39" s="1" t="s">
        <v>24</v>
      </c>
      <c r="H39" s="19" t="s">
        <v>999</v>
      </c>
      <c r="I39" s="11">
        <v>46307</v>
      </c>
      <c r="J39" s="11"/>
      <c r="K39" s="11"/>
      <c r="L39" s="11"/>
      <c r="M39" s="1"/>
      <c r="N39" s="6"/>
      <c r="O39" s="6"/>
      <c r="P39" s="12">
        <f t="shared" si="5"/>
        <v>46306</v>
      </c>
      <c r="Q39" s="11">
        <f t="shared" si="5"/>
        <v>-1</v>
      </c>
      <c r="R39" s="24">
        <f t="shared" si="7"/>
        <v>-46306</v>
      </c>
      <c r="S39" s="25">
        <f t="shared" si="6"/>
        <v>1</v>
      </c>
      <c r="T39" s="23" t="str">
        <f t="shared" si="4"/>
        <v>No</v>
      </c>
      <c r="U39" s="1"/>
    </row>
    <row r="40" spans="1:21" x14ac:dyDescent="0.3">
      <c r="A40" s="6">
        <v>40</v>
      </c>
      <c r="B40" s="1" t="s">
        <v>21</v>
      </c>
      <c r="C40" s="1" t="s">
        <v>1037</v>
      </c>
      <c r="D40" s="1" t="s">
        <v>1038</v>
      </c>
      <c r="E40" s="1">
        <v>9700019005</v>
      </c>
      <c r="F40" s="8" t="s">
        <v>9</v>
      </c>
      <c r="G40" s="1" t="s">
        <v>24</v>
      </c>
      <c r="H40" s="19" t="s">
        <v>999</v>
      </c>
      <c r="I40" s="11">
        <v>46310</v>
      </c>
      <c r="J40" s="11"/>
      <c r="K40" s="11"/>
      <c r="L40" s="11"/>
      <c r="M40" s="1"/>
      <c r="N40" s="6"/>
      <c r="O40" s="6"/>
      <c r="P40" s="12">
        <f t="shared" si="5"/>
        <v>46309</v>
      </c>
      <c r="Q40" s="11">
        <f t="shared" si="5"/>
        <v>-1</v>
      </c>
      <c r="R40" s="24">
        <f t="shared" si="7"/>
        <v>-46309</v>
      </c>
      <c r="S40" s="25">
        <f t="shared" si="6"/>
        <v>1</v>
      </c>
      <c r="T40" s="23" t="str">
        <f t="shared" si="4"/>
        <v>No</v>
      </c>
      <c r="U40" s="1" t="s">
        <v>1039</v>
      </c>
    </row>
    <row r="41" spans="1:21" x14ac:dyDescent="0.3">
      <c r="A41" s="6">
        <v>41</v>
      </c>
      <c r="B41" s="1" t="s">
        <v>21</v>
      </c>
      <c r="C41" s="1" t="s">
        <v>625</v>
      </c>
      <c r="D41" s="1"/>
      <c r="E41" s="1">
        <v>9700019027</v>
      </c>
      <c r="F41" s="8" t="s">
        <v>9</v>
      </c>
      <c r="G41" s="1" t="s">
        <v>24</v>
      </c>
      <c r="H41" s="19" t="s">
        <v>999</v>
      </c>
      <c r="I41" s="11">
        <v>46312</v>
      </c>
      <c r="J41" s="11"/>
      <c r="K41" s="11"/>
      <c r="L41" s="11"/>
      <c r="M41" s="1"/>
      <c r="N41" s="6"/>
      <c r="O41" s="6"/>
      <c r="P41" s="12">
        <f t="shared" si="5"/>
        <v>46311</v>
      </c>
      <c r="Q41" s="11">
        <f t="shared" si="5"/>
        <v>-1</v>
      </c>
      <c r="R41" s="24">
        <f t="shared" si="7"/>
        <v>-46311</v>
      </c>
      <c r="S41" s="25">
        <f t="shared" si="6"/>
        <v>1</v>
      </c>
      <c r="T41" s="23" t="str">
        <f t="shared" si="4"/>
        <v>No</v>
      </c>
      <c r="U41" s="1"/>
    </row>
    <row r="42" spans="1:21" x14ac:dyDescent="0.3">
      <c r="A42" s="6">
        <v>42</v>
      </c>
      <c r="B42" s="1" t="s">
        <v>21</v>
      </c>
      <c r="C42" s="1" t="s">
        <v>625</v>
      </c>
      <c r="D42" s="1"/>
      <c r="E42" s="1">
        <v>9700019028</v>
      </c>
      <c r="F42" s="8" t="s">
        <v>9</v>
      </c>
      <c r="G42" s="1" t="s">
        <v>24</v>
      </c>
      <c r="H42" s="19" t="s">
        <v>999</v>
      </c>
      <c r="I42" s="11">
        <v>46313</v>
      </c>
      <c r="J42" s="11"/>
      <c r="K42" s="11"/>
      <c r="L42" s="11"/>
      <c r="M42" s="1"/>
      <c r="N42" s="6"/>
      <c r="O42" s="6"/>
      <c r="P42" s="12">
        <f t="shared" si="5"/>
        <v>46312</v>
      </c>
      <c r="Q42" s="11">
        <f t="shared" si="5"/>
        <v>-1</v>
      </c>
      <c r="R42" s="24">
        <f t="shared" si="7"/>
        <v>-46312</v>
      </c>
      <c r="S42" s="25">
        <f t="shared" si="6"/>
        <v>1</v>
      </c>
      <c r="T42" s="23" t="str">
        <f t="shared" si="4"/>
        <v>No</v>
      </c>
      <c r="U42" s="1"/>
    </row>
    <row r="43" spans="1:21" x14ac:dyDescent="0.3">
      <c r="A43" s="6">
        <v>43</v>
      </c>
      <c r="B43" s="1" t="s">
        <v>21</v>
      </c>
      <c r="C43" s="1"/>
      <c r="D43" s="1" t="s">
        <v>1040</v>
      </c>
      <c r="E43" s="1">
        <v>9700018938</v>
      </c>
      <c r="F43" s="7" t="s">
        <v>699</v>
      </c>
      <c r="G43" s="1" t="s">
        <v>24</v>
      </c>
      <c r="H43" s="19" t="s">
        <v>1008</v>
      </c>
      <c r="I43" s="11" t="s">
        <v>1041</v>
      </c>
      <c r="J43" s="11"/>
      <c r="K43" s="11"/>
      <c r="L43" s="11"/>
      <c r="M43" s="1"/>
      <c r="N43" s="6"/>
      <c r="O43" s="6"/>
      <c r="P43" s="12" t="e">
        <f t="shared" si="5"/>
        <v>#VALUE!</v>
      </c>
      <c r="Q43" s="11">
        <f t="shared" si="5"/>
        <v>-1</v>
      </c>
      <c r="R43" s="24" t="e">
        <f t="shared" si="7"/>
        <v>#VALUE!</v>
      </c>
      <c r="S43" s="25">
        <f t="shared" si="6"/>
        <v>1</v>
      </c>
      <c r="T43" s="23" t="e">
        <f t="shared" si="4"/>
        <v>#VALUE!</v>
      </c>
      <c r="U43" s="1"/>
    </row>
    <row r="44" spans="1:21" x14ac:dyDescent="0.3">
      <c r="A44" s="6">
        <v>44</v>
      </c>
      <c r="B44" s="1" t="s">
        <v>21</v>
      </c>
      <c r="C44" s="1"/>
      <c r="D44" s="1" t="s">
        <v>1042</v>
      </c>
      <c r="E44" s="1">
        <v>9700018938</v>
      </c>
      <c r="F44" s="7" t="s">
        <v>699</v>
      </c>
      <c r="G44" s="1" t="s">
        <v>24</v>
      </c>
      <c r="H44" s="19" t="s">
        <v>1008</v>
      </c>
      <c r="I44" s="11" t="s">
        <v>1041</v>
      </c>
      <c r="J44" s="11"/>
      <c r="K44" s="11"/>
      <c r="L44" s="11"/>
      <c r="M44" s="1"/>
      <c r="N44" s="6"/>
      <c r="O44" s="6"/>
      <c r="P44" s="12" t="e">
        <f t="shared" si="5"/>
        <v>#VALUE!</v>
      </c>
      <c r="Q44" s="11">
        <f t="shared" si="5"/>
        <v>-1</v>
      </c>
      <c r="R44" s="24" t="e">
        <f t="shared" si="7"/>
        <v>#VALUE!</v>
      </c>
      <c r="S44" s="25">
        <f t="shared" si="6"/>
        <v>1</v>
      </c>
      <c r="T44" s="23" t="e">
        <f t="shared" si="4"/>
        <v>#VALUE!</v>
      </c>
      <c r="U44" s="1"/>
    </row>
    <row r="45" spans="1:21" x14ac:dyDescent="0.3">
      <c r="A45" s="6">
        <v>45</v>
      </c>
      <c r="B45" s="1" t="s">
        <v>21</v>
      </c>
      <c r="C45" s="1"/>
      <c r="D45" s="1" t="s">
        <v>1043</v>
      </c>
      <c r="E45" s="1">
        <v>9700018938</v>
      </c>
      <c r="F45" s="7" t="s">
        <v>699</v>
      </c>
      <c r="G45" s="1" t="s">
        <v>24</v>
      </c>
      <c r="H45" s="19" t="s">
        <v>1008</v>
      </c>
      <c r="I45" s="11" t="s">
        <v>1041</v>
      </c>
      <c r="J45" s="11"/>
      <c r="K45" s="11"/>
      <c r="L45" s="11"/>
      <c r="M45" s="1"/>
      <c r="N45" s="6"/>
      <c r="O45" s="6"/>
      <c r="P45" s="12" t="e">
        <f t="shared" si="5"/>
        <v>#VALUE!</v>
      </c>
      <c r="Q45" s="11">
        <f t="shared" si="5"/>
        <v>-1</v>
      </c>
      <c r="R45" s="24" t="e">
        <f t="shared" si="7"/>
        <v>#VALUE!</v>
      </c>
      <c r="S45" s="25">
        <f t="shared" si="6"/>
        <v>1</v>
      </c>
      <c r="T45" s="23" t="e">
        <f t="shared" si="4"/>
        <v>#VALUE!</v>
      </c>
      <c r="U45" s="1"/>
    </row>
    <row r="46" spans="1:21" x14ac:dyDescent="0.3">
      <c r="A46" s="6">
        <v>46</v>
      </c>
      <c r="B46" s="1" t="s">
        <v>21</v>
      </c>
      <c r="C46" s="1"/>
      <c r="D46" s="1" t="s">
        <v>1044</v>
      </c>
      <c r="E46" s="1">
        <v>9700019051</v>
      </c>
      <c r="F46" s="7" t="s">
        <v>699</v>
      </c>
      <c r="G46" s="1" t="s">
        <v>24</v>
      </c>
      <c r="H46" s="19" t="s">
        <v>983</v>
      </c>
      <c r="I46" s="11" t="s">
        <v>1045</v>
      </c>
      <c r="J46" s="11"/>
      <c r="K46" s="11"/>
      <c r="L46" s="11"/>
      <c r="M46" s="1"/>
      <c r="N46" s="6"/>
      <c r="O46" s="6"/>
      <c r="P46" s="12" t="e">
        <f t="shared" si="5"/>
        <v>#VALUE!</v>
      </c>
      <c r="Q46" s="11">
        <f t="shared" si="5"/>
        <v>-1</v>
      </c>
      <c r="R46" s="24" t="e">
        <f t="shared" si="7"/>
        <v>#VALUE!</v>
      </c>
      <c r="S46" s="25">
        <f t="shared" si="6"/>
        <v>1</v>
      </c>
      <c r="T46" s="23" t="e">
        <f t="shared" si="4"/>
        <v>#VALUE!</v>
      </c>
      <c r="U46" s="1"/>
    </row>
    <row r="47" spans="1:21" x14ac:dyDescent="0.3">
      <c r="A47" s="6">
        <v>47</v>
      </c>
      <c r="B47" s="1" t="s">
        <v>21</v>
      </c>
      <c r="C47" s="1"/>
      <c r="D47" s="1" t="s">
        <v>1046</v>
      </c>
      <c r="E47" s="1">
        <v>9700019051</v>
      </c>
      <c r="F47" s="7" t="s">
        <v>699</v>
      </c>
      <c r="G47" s="1" t="s">
        <v>24</v>
      </c>
      <c r="H47" s="19" t="s">
        <v>983</v>
      </c>
      <c r="I47" s="11" t="s">
        <v>1045</v>
      </c>
      <c r="J47" s="11"/>
      <c r="K47" s="11"/>
      <c r="L47" s="11"/>
      <c r="M47" s="1"/>
      <c r="N47" s="6"/>
      <c r="O47" s="6"/>
      <c r="P47" s="12" t="e">
        <f t="shared" si="5"/>
        <v>#VALUE!</v>
      </c>
      <c r="Q47" s="11">
        <f t="shared" si="5"/>
        <v>-1</v>
      </c>
      <c r="R47" s="24" t="e">
        <f t="shared" si="7"/>
        <v>#VALUE!</v>
      </c>
      <c r="S47" s="25">
        <f t="shared" si="6"/>
        <v>1</v>
      </c>
      <c r="T47" s="23" t="e">
        <f t="shared" si="4"/>
        <v>#VALUE!</v>
      </c>
      <c r="U47" s="1"/>
    </row>
    <row r="48" spans="1:21" x14ac:dyDescent="0.3">
      <c r="A48" s="6">
        <v>48</v>
      </c>
      <c r="B48" s="1" t="s">
        <v>21</v>
      </c>
      <c r="C48" s="1"/>
      <c r="D48" s="1" t="s">
        <v>1047</v>
      </c>
      <c r="E48" s="1">
        <v>9700019051</v>
      </c>
      <c r="F48" s="7" t="s">
        <v>699</v>
      </c>
      <c r="G48" s="1" t="s">
        <v>24</v>
      </c>
      <c r="H48" s="19" t="s">
        <v>983</v>
      </c>
      <c r="I48" s="11" t="s">
        <v>1045</v>
      </c>
      <c r="J48" s="11"/>
      <c r="K48" s="11"/>
      <c r="L48" s="11"/>
      <c r="M48" s="1"/>
      <c r="N48" s="6"/>
      <c r="O48" s="6"/>
      <c r="P48" s="12" t="e">
        <f t="shared" si="5"/>
        <v>#VALUE!</v>
      </c>
      <c r="Q48" s="11">
        <f t="shared" si="5"/>
        <v>-1</v>
      </c>
      <c r="R48" s="24" t="e">
        <f t="shared" si="7"/>
        <v>#VALUE!</v>
      </c>
      <c r="S48" s="25">
        <f t="shared" si="6"/>
        <v>1</v>
      </c>
      <c r="T48" s="23" t="e">
        <f t="shared" si="4"/>
        <v>#VALUE!</v>
      </c>
      <c r="U48" s="1"/>
    </row>
    <row r="49" spans="1:21" x14ac:dyDescent="0.3">
      <c r="A49" s="6">
        <v>49</v>
      </c>
      <c r="B49" s="1"/>
      <c r="C49" s="1"/>
      <c r="D49" s="1"/>
      <c r="E49" s="1"/>
      <c r="F49" s="1"/>
      <c r="G49" s="1"/>
      <c r="H49" s="19"/>
      <c r="I49" s="11"/>
      <c r="J49" s="11"/>
      <c r="K49" s="11"/>
      <c r="L49" s="11"/>
      <c r="M49" s="1"/>
      <c r="N49" s="6"/>
      <c r="O49" s="6"/>
      <c r="P49" s="12">
        <f t="shared" si="5"/>
        <v>-1</v>
      </c>
      <c r="Q49" s="11">
        <f t="shared" si="5"/>
        <v>-1</v>
      </c>
      <c r="R49" s="24">
        <f t="shared" si="7"/>
        <v>1</v>
      </c>
      <c r="S49" s="25">
        <f t="shared" si="6"/>
        <v>1</v>
      </c>
      <c r="T49" s="23" t="str">
        <f t="shared" si="4"/>
        <v>To Paid</v>
      </c>
      <c r="U49" s="1"/>
    </row>
    <row r="50" spans="1:21" x14ac:dyDescent="0.3">
      <c r="A50" s="6">
        <v>50</v>
      </c>
      <c r="B50" s="1"/>
      <c r="C50" s="1"/>
      <c r="D50" s="1"/>
      <c r="E50" s="1"/>
      <c r="F50" s="1"/>
      <c r="G50" s="1"/>
      <c r="H50" s="19"/>
      <c r="I50" s="11"/>
      <c r="J50" s="11"/>
      <c r="K50" s="11"/>
      <c r="L50" s="11"/>
      <c r="M50" s="1"/>
      <c r="N50" s="6"/>
      <c r="O50" s="6"/>
      <c r="P50" s="12">
        <f t="shared" si="5"/>
        <v>-1</v>
      </c>
      <c r="Q50" s="11">
        <f t="shared" si="5"/>
        <v>-1</v>
      </c>
      <c r="R50" s="24">
        <f t="shared" si="7"/>
        <v>1</v>
      </c>
      <c r="S50" s="25">
        <f t="shared" si="6"/>
        <v>1</v>
      </c>
      <c r="T50" s="23" t="str">
        <f t="shared" si="4"/>
        <v>To Paid</v>
      </c>
      <c r="U50" s="1"/>
    </row>
    <row r="51" spans="1:21" x14ac:dyDescent="0.3">
      <c r="A51" s="6">
        <v>51</v>
      </c>
      <c r="B51" s="1"/>
      <c r="C51" s="1"/>
      <c r="D51" s="1"/>
      <c r="E51" s="1"/>
      <c r="F51" s="1"/>
      <c r="G51" s="1"/>
      <c r="H51" s="19"/>
      <c r="I51" s="11"/>
      <c r="J51" s="11"/>
      <c r="K51" s="11"/>
      <c r="L51" s="11"/>
      <c r="M51" s="1"/>
      <c r="N51" s="6"/>
      <c r="O51" s="6"/>
      <c r="P51" s="12">
        <f t="shared" si="5"/>
        <v>-1</v>
      </c>
      <c r="Q51" s="11">
        <f t="shared" si="5"/>
        <v>-1</v>
      </c>
      <c r="R51" s="24">
        <f t="shared" si="7"/>
        <v>1</v>
      </c>
      <c r="S51" s="25">
        <f t="shared" si="6"/>
        <v>1</v>
      </c>
      <c r="T51" s="23" t="str">
        <f t="shared" si="4"/>
        <v>To Paid</v>
      </c>
      <c r="U51" s="1"/>
    </row>
    <row r="52" spans="1:21" x14ac:dyDescent="0.3">
      <c r="A52" s="6">
        <v>52</v>
      </c>
      <c r="B52" s="1"/>
      <c r="C52" s="1"/>
      <c r="D52" s="1"/>
      <c r="E52" s="1"/>
      <c r="F52" s="1"/>
      <c r="G52" s="1"/>
      <c r="H52" s="19"/>
      <c r="I52" s="11"/>
      <c r="J52" s="11"/>
      <c r="K52" s="11"/>
      <c r="L52" s="11"/>
      <c r="M52" s="1"/>
      <c r="N52" s="6"/>
      <c r="O52" s="6"/>
      <c r="P52" s="12">
        <f t="shared" si="5"/>
        <v>-1</v>
      </c>
      <c r="Q52" s="11">
        <f t="shared" si="5"/>
        <v>-1</v>
      </c>
      <c r="R52" s="24">
        <f t="shared" si="7"/>
        <v>1</v>
      </c>
      <c r="S52" s="25">
        <f t="shared" si="6"/>
        <v>1</v>
      </c>
      <c r="T52" s="23" t="str">
        <f t="shared" si="4"/>
        <v>To Paid</v>
      </c>
      <c r="U52" s="1"/>
    </row>
    <row r="53" spans="1:21" x14ac:dyDescent="0.3">
      <c r="A53" s="6">
        <v>53</v>
      </c>
      <c r="B53" s="1"/>
      <c r="C53" s="1"/>
      <c r="D53" s="1"/>
      <c r="E53" s="1"/>
      <c r="F53" s="1"/>
      <c r="G53" s="1"/>
      <c r="H53" s="19"/>
      <c r="I53" s="11"/>
      <c r="J53" s="11"/>
      <c r="K53" s="11"/>
      <c r="L53" s="11"/>
      <c r="M53" s="1"/>
      <c r="N53" s="6"/>
      <c r="O53" s="6"/>
      <c r="P53" s="12">
        <f t="shared" si="5"/>
        <v>-1</v>
      </c>
      <c r="Q53" s="11">
        <f t="shared" si="5"/>
        <v>-1</v>
      </c>
      <c r="R53" s="24">
        <f t="shared" si="7"/>
        <v>1</v>
      </c>
      <c r="S53" s="25">
        <f t="shared" si="6"/>
        <v>1</v>
      </c>
      <c r="T53" s="23" t="str">
        <f t="shared" si="4"/>
        <v>To Paid</v>
      </c>
      <c r="U53" s="1"/>
    </row>
    <row r="54" spans="1:21" x14ac:dyDescent="0.3">
      <c r="A54" s="6">
        <v>54</v>
      </c>
      <c r="B54" s="1"/>
      <c r="C54" s="1"/>
      <c r="D54" s="1"/>
      <c r="E54" s="1"/>
      <c r="F54" s="1"/>
      <c r="G54" s="1"/>
      <c r="H54" s="19"/>
      <c r="I54" s="11"/>
      <c r="J54" s="11"/>
      <c r="K54" s="11"/>
      <c r="L54" s="11"/>
      <c r="M54" s="1"/>
      <c r="N54" s="6"/>
      <c r="O54" s="6"/>
      <c r="P54" s="12">
        <f t="shared" si="5"/>
        <v>-1</v>
      </c>
      <c r="Q54" s="11">
        <f t="shared" si="5"/>
        <v>-1</v>
      </c>
      <c r="R54" s="24">
        <f t="shared" si="7"/>
        <v>1</v>
      </c>
      <c r="S54" s="25">
        <f t="shared" si="6"/>
        <v>1</v>
      </c>
      <c r="T54" s="23" t="str">
        <f t="shared" si="4"/>
        <v>To Paid</v>
      </c>
      <c r="U54" s="1"/>
    </row>
    <row r="55" spans="1:21" x14ac:dyDescent="0.3">
      <c r="A55" s="6">
        <v>55</v>
      </c>
      <c r="B55" s="1"/>
      <c r="C55" s="1"/>
      <c r="D55" s="1"/>
      <c r="E55" s="1"/>
      <c r="F55" s="1"/>
      <c r="G55" s="1"/>
      <c r="H55" s="19"/>
      <c r="I55" s="11"/>
      <c r="J55" s="11"/>
      <c r="K55" s="11"/>
      <c r="L55" s="11"/>
      <c r="M55" s="1"/>
      <c r="N55" s="6"/>
      <c r="O55" s="6"/>
      <c r="P55" s="12">
        <f t="shared" si="5"/>
        <v>-1</v>
      </c>
      <c r="Q55" s="11">
        <f t="shared" si="5"/>
        <v>-1</v>
      </c>
      <c r="R55" s="24">
        <f t="shared" si="7"/>
        <v>1</v>
      </c>
      <c r="S55" s="25">
        <f t="shared" si="6"/>
        <v>1</v>
      </c>
      <c r="T55" s="23" t="str">
        <f t="shared" si="4"/>
        <v>To Paid</v>
      </c>
      <c r="U55" s="1"/>
    </row>
    <row r="56" spans="1:21" x14ac:dyDescent="0.3">
      <c r="A56" s="6">
        <v>56</v>
      </c>
      <c r="B56" s="1"/>
      <c r="C56" s="1"/>
      <c r="D56" s="1"/>
      <c r="E56" s="1"/>
      <c r="F56" s="1"/>
      <c r="G56" s="1"/>
      <c r="H56" s="19"/>
      <c r="I56" s="11"/>
      <c r="J56" s="11"/>
      <c r="K56" s="11"/>
      <c r="L56" s="11"/>
      <c r="M56" s="1"/>
      <c r="N56" s="6"/>
      <c r="O56" s="6"/>
      <c r="P56" s="12">
        <f t="shared" si="5"/>
        <v>-1</v>
      </c>
      <c r="Q56" s="11">
        <f t="shared" si="5"/>
        <v>-1</v>
      </c>
      <c r="R56" s="24">
        <f t="shared" si="7"/>
        <v>1</v>
      </c>
      <c r="S56" s="25">
        <f t="shared" si="6"/>
        <v>1</v>
      </c>
      <c r="T56" s="23" t="str">
        <f t="shared" si="4"/>
        <v>To Paid</v>
      </c>
      <c r="U56" s="1"/>
    </row>
    <row r="57" spans="1:21" x14ac:dyDescent="0.3">
      <c r="A57" s="6">
        <v>57</v>
      </c>
      <c r="B57" s="1"/>
      <c r="C57" s="1"/>
      <c r="D57" s="1"/>
      <c r="E57" s="1"/>
      <c r="F57" s="1"/>
      <c r="G57" s="1"/>
      <c r="H57" s="19"/>
      <c r="I57" s="11"/>
      <c r="J57" s="11"/>
      <c r="K57" s="11"/>
      <c r="L57" s="11"/>
      <c r="M57" s="1"/>
      <c r="N57" s="6"/>
      <c r="O57" s="6"/>
      <c r="P57" s="12">
        <f t="shared" si="5"/>
        <v>-1</v>
      </c>
      <c r="Q57" s="11">
        <f t="shared" si="5"/>
        <v>-1</v>
      </c>
      <c r="R57" s="24">
        <f t="shared" si="7"/>
        <v>1</v>
      </c>
      <c r="S57" s="25">
        <f t="shared" si="6"/>
        <v>1</v>
      </c>
      <c r="T57" s="23" t="str">
        <f t="shared" si="4"/>
        <v>To Paid</v>
      </c>
      <c r="U57" s="1"/>
    </row>
    <row r="58" spans="1:21" x14ac:dyDescent="0.3">
      <c r="A58" s="6">
        <v>58</v>
      </c>
      <c r="B58" s="1"/>
      <c r="C58" s="1"/>
      <c r="D58" s="1"/>
      <c r="E58" s="1"/>
      <c r="F58" s="1"/>
      <c r="G58" s="1"/>
      <c r="H58" s="19"/>
      <c r="I58" s="11"/>
      <c r="J58" s="11"/>
      <c r="K58" s="11"/>
      <c r="L58" s="11"/>
      <c r="M58" s="1"/>
      <c r="N58" s="6"/>
      <c r="O58" s="6"/>
      <c r="P58" s="12">
        <f t="shared" si="5"/>
        <v>-1</v>
      </c>
      <c r="Q58" s="11">
        <f t="shared" si="5"/>
        <v>-1</v>
      </c>
      <c r="R58" s="24">
        <f t="shared" si="7"/>
        <v>1</v>
      </c>
      <c r="S58" s="25">
        <f t="shared" si="6"/>
        <v>1</v>
      </c>
      <c r="T58" s="23" t="str">
        <f t="shared" si="4"/>
        <v>To Paid</v>
      </c>
      <c r="U58" s="1"/>
    </row>
    <row r="59" spans="1:21" x14ac:dyDescent="0.3">
      <c r="A59" s="6">
        <v>59</v>
      </c>
      <c r="B59" s="1"/>
      <c r="C59" s="1"/>
      <c r="D59" s="1"/>
      <c r="E59" s="1"/>
      <c r="F59" s="1"/>
      <c r="G59" s="1"/>
      <c r="H59" s="19"/>
      <c r="I59" s="11"/>
      <c r="J59" s="11"/>
      <c r="K59" s="11"/>
      <c r="L59" s="11"/>
      <c r="M59" s="1"/>
      <c r="N59" s="6"/>
      <c r="O59" s="6"/>
      <c r="P59" s="12">
        <f t="shared" si="5"/>
        <v>-1</v>
      </c>
      <c r="Q59" s="11">
        <f t="shared" si="5"/>
        <v>-1</v>
      </c>
      <c r="R59" s="24">
        <f t="shared" si="7"/>
        <v>1</v>
      </c>
      <c r="S59" s="25">
        <f t="shared" si="6"/>
        <v>1</v>
      </c>
      <c r="T59" s="23" t="str">
        <f t="shared" si="4"/>
        <v>To Paid</v>
      </c>
      <c r="U59" s="1"/>
    </row>
    <row r="60" spans="1:21" x14ac:dyDescent="0.3">
      <c r="A60" s="6">
        <v>60</v>
      </c>
      <c r="B60" s="1"/>
      <c r="C60" s="1"/>
      <c r="D60" s="1"/>
      <c r="E60" s="1"/>
      <c r="F60" s="1"/>
      <c r="G60" s="1"/>
      <c r="H60" s="19"/>
      <c r="I60" s="11"/>
      <c r="J60" s="11"/>
      <c r="K60" s="11"/>
      <c r="L60" s="11"/>
      <c r="M60" s="1"/>
      <c r="N60" s="6"/>
      <c r="O60" s="6"/>
      <c r="P60" s="12">
        <f t="shared" si="5"/>
        <v>-1</v>
      </c>
      <c r="Q60" s="11">
        <f t="shared" si="5"/>
        <v>-1</v>
      </c>
      <c r="R60" s="24">
        <f t="shared" si="7"/>
        <v>1</v>
      </c>
      <c r="S60" s="25">
        <f t="shared" si="6"/>
        <v>1</v>
      </c>
      <c r="T60" s="23" t="str">
        <f t="shared" si="4"/>
        <v>To Paid</v>
      </c>
      <c r="U60" s="1"/>
    </row>
    <row r="61" spans="1:21" x14ac:dyDescent="0.3">
      <c r="A61" s="6">
        <v>61</v>
      </c>
      <c r="B61" s="1"/>
      <c r="C61" s="1"/>
      <c r="D61" s="1"/>
      <c r="E61" s="1"/>
      <c r="F61" s="1"/>
      <c r="G61" s="1"/>
      <c r="H61" s="19"/>
      <c r="I61" s="11"/>
      <c r="J61" s="11"/>
      <c r="K61" s="11"/>
      <c r="L61" s="11"/>
      <c r="M61" s="1"/>
      <c r="N61" s="6"/>
      <c r="O61" s="6"/>
      <c r="P61" s="12">
        <f t="shared" si="5"/>
        <v>-1</v>
      </c>
      <c r="Q61" s="11">
        <f t="shared" si="5"/>
        <v>-1</v>
      </c>
      <c r="R61" s="24">
        <f t="shared" si="7"/>
        <v>1</v>
      </c>
      <c r="S61" s="25">
        <f t="shared" si="6"/>
        <v>1</v>
      </c>
      <c r="T61" s="23" t="str">
        <f t="shared" si="4"/>
        <v>To Paid</v>
      </c>
      <c r="U61" s="1"/>
    </row>
    <row r="62" spans="1:21" x14ac:dyDescent="0.3">
      <c r="A62" s="6">
        <v>62</v>
      </c>
      <c r="B62" s="1"/>
      <c r="C62" s="1"/>
      <c r="D62" s="1"/>
      <c r="E62" s="1"/>
      <c r="F62" s="1"/>
      <c r="G62" s="1"/>
      <c r="H62" s="19"/>
      <c r="I62" s="11"/>
      <c r="J62" s="11"/>
      <c r="K62" s="11"/>
      <c r="L62" s="11"/>
      <c r="M62" s="1"/>
      <c r="N62" s="6"/>
      <c r="O62" s="6"/>
      <c r="P62" s="12">
        <f t="shared" si="5"/>
        <v>-1</v>
      </c>
      <c r="Q62" s="11">
        <f t="shared" si="5"/>
        <v>-1</v>
      </c>
      <c r="R62" s="24">
        <f t="shared" si="7"/>
        <v>1</v>
      </c>
      <c r="S62" s="25">
        <f t="shared" si="6"/>
        <v>1</v>
      </c>
      <c r="T62" s="23" t="str">
        <f t="shared" si="4"/>
        <v>To Paid</v>
      </c>
      <c r="U62" s="1"/>
    </row>
    <row r="63" spans="1:21" x14ac:dyDescent="0.3">
      <c r="A63" s="6">
        <v>63</v>
      </c>
      <c r="B63" s="1"/>
      <c r="C63" s="1"/>
      <c r="D63" s="1"/>
      <c r="E63" s="1"/>
      <c r="F63" s="1"/>
      <c r="G63" s="1"/>
      <c r="H63" s="19"/>
      <c r="I63" s="11"/>
      <c r="J63" s="11"/>
      <c r="K63" s="11"/>
      <c r="L63" s="11"/>
      <c r="M63" s="1"/>
      <c r="N63" s="6"/>
      <c r="O63" s="6"/>
      <c r="P63" s="12">
        <f t="shared" si="5"/>
        <v>-1</v>
      </c>
      <c r="Q63" s="11">
        <f t="shared" si="5"/>
        <v>-1</v>
      </c>
      <c r="R63" s="24">
        <f t="shared" si="7"/>
        <v>1</v>
      </c>
      <c r="S63" s="25">
        <f t="shared" si="6"/>
        <v>1</v>
      </c>
      <c r="T63" s="23" t="str">
        <f t="shared" si="4"/>
        <v>To Paid</v>
      </c>
      <c r="U63" s="1"/>
    </row>
    <row r="64" spans="1:21" x14ac:dyDescent="0.3">
      <c r="A64" s="6">
        <v>64</v>
      </c>
      <c r="B64" s="1"/>
      <c r="C64" s="1"/>
      <c r="D64" s="1"/>
      <c r="E64" s="1"/>
      <c r="F64" s="1"/>
      <c r="G64" s="1"/>
      <c r="H64" s="19"/>
      <c r="I64" s="11"/>
      <c r="J64" s="11"/>
      <c r="K64" s="11"/>
      <c r="L64" s="11"/>
      <c r="M64" s="1"/>
      <c r="N64" s="6"/>
      <c r="O64" s="6"/>
      <c r="P64" s="12">
        <f t="shared" si="5"/>
        <v>-1</v>
      </c>
      <c r="Q64" s="11">
        <f t="shared" si="5"/>
        <v>-1</v>
      </c>
      <c r="R64" s="24">
        <f t="shared" si="7"/>
        <v>1</v>
      </c>
      <c r="S64" s="25">
        <f t="shared" si="6"/>
        <v>1</v>
      </c>
      <c r="T64" s="23" t="str">
        <f t="shared" si="4"/>
        <v>To Paid</v>
      </c>
      <c r="U64" s="1"/>
    </row>
    <row r="65" spans="1:21" x14ac:dyDescent="0.3">
      <c r="A65" s="6">
        <v>65</v>
      </c>
      <c r="B65" s="1"/>
      <c r="C65" s="1"/>
      <c r="D65" s="1"/>
      <c r="E65" s="1"/>
      <c r="F65" s="1"/>
      <c r="G65" s="1"/>
      <c r="H65" s="19"/>
      <c r="I65" s="11"/>
      <c r="J65" s="11"/>
      <c r="K65" s="11"/>
      <c r="L65" s="11"/>
      <c r="M65" s="1"/>
      <c r="N65" s="6"/>
      <c r="O65" s="6"/>
      <c r="P65" s="12">
        <f t="shared" si="5"/>
        <v>-1</v>
      </c>
      <c r="Q65" s="11">
        <f t="shared" si="5"/>
        <v>-1</v>
      </c>
      <c r="R65" s="24">
        <f t="shared" si="7"/>
        <v>1</v>
      </c>
      <c r="S65" s="25">
        <f t="shared" si="6"/>
        <v>1</v>
      </c>
      <c r="T65" s="23" t="str">
        <f t="shared" si="4"/>
        <v>To Paid</v>
      </c>
      <c r="U65" s="1"/>
    </row>
    <row r="66" spans="1:21" x14ac:dyDescent="0.3">
      <c r="A66" s="6">
        <v>66</v>
      </c>
      <c r="B66" s="1"/>
      <c r="C66" s="1"/>
      <c r="D66" s="1"/>
      <c r="E66" s="1"/>
      <c r="F66" s="1"/>
      <c r="G66" s="1"/>
      <c r="H66" s="19"/>
      <c r="I66" s="11"/>
      <c r="J66" s="11"/>
      <c r="K66" s="11"/>
      <c r="L66" s="11"/>
      <c r="M66" s="1"/>
      <c r="N66" s="6"/>
      <c r="O66" s="6"/>
      <c r="P66" s="12">
        <f t="shared" si="5"/>
        <v>-1</v>
      </c>
      <c r="Q66" s="11">
        <f t="shared" si="5"/>
        <v>-1</v>
      </c>
      <c r="R66" s="24">
        <f t="shared" si="7"/>
        <v>1</v>
      </c>
      <c r="S66" s="25">
        <f t="shared" si="6"/>
        <v>1</v>
      </c>
      <c r="T66" s="23" t="str">
        <f t="shared" si="4"/>
        <v>To Paid</v>
      </c>
      <c r="U66" s="1"/>
    </row>
  </sheetData>
  <autoFilter ref="A1:U66" xr:uid="{08323E58-91B1-4BC3-A235-CD9412059F7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D1E9-B167-46F5-BE19-EA990EC9387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4155-AEB9-44D8-9041-608D13014879}">
  <dimension ref="A1:E8"/>
  <sheetViews>
    <sheetView workbookViewId="0">
      <selection activeCell="A4" sqref="A4"/>
    </sheetView>
  </sheetViews>
  <sheetFormatPr defaultRowHeight="14.4" x14ac:dyDescent="0.3"/>
  <cols>
    <col min="1" max="1" width="24" bestFit="1" customWidth="1"/>
    <col min="2" max="2" width="15.5546875" bestFit="1" customWidth="1"/>
    <col min="3" max="4" width="7" bestFit="1" customWidth="1"/>
    <col min="5" max="5" width="10.5546875" bestFit="1" customWidth="1"/>
    <col min="6" max="6" width="3.88671875" bestFit="1" customWidth="1"/>
    <col min="7" max="7" width="4.33203125" bestFit="1" customWidth="1"/>
    <col min="8" max="8" width="3.6640625" bestFit="1" customWidth="1"/>
    <col min="9" max="9" width="3.33203125" bestFit="1" customWidth="1"/>
    <col min="10" max="10" width="10.5546875" bestFit="1" customWidth="1"/>
    <col min="11" max="11" width="8" bestFit="1" customWidth="1"/>
    <col min="12" max="13" width="7.6640625" bestFit="1" customWidth="1"/>
    <col min="14" max="14" width="5.5546875" bestFit="1" customWidth="1"/>
    <col min="15" max="15" width="11.33203125" bestFit="1" customWidth="1"/>
    <col min="16" max="16" width="11.5546875" bestFit="1" customWidth="1"/>
    <col min="17" max="17" width="7" bestFit="1" customWidth="1"/>
    <col min="18" max="18" width="10.5546875" bestFit="1" customWidth="1"/>
  </cols>
  <sheetData>
    <row r="1" spans="1:5" x14ac:dyDescent="0.3">
      <c r="A1" s="16" t="s">
        <v>1</v>
      </c>
      <c r="B1" t="s">
        <v>21</v>
      </c>
    </row>
    <row r="3" spans="1:5" x14ac:dyDescent="0.3">
      <c r="A3" s="16" t="s">
        <v>1048</v>
      </c>
      <c r="B3" s="16" t="s">
        <v>1049</v>
      </c>
    </row>
    <row r="4" spans="1:5" x14ac:dyDescent="0.3">
      <c r="A4" s="16" t="s">
        <v>1050</v>
      </c>
      <c r="B4" t="s">
        <v>1051</v>
      </c>
      <c r="C4" t="s">
        <v>1052</v>
      </c>
      <c r="D4" t="s">
        <v>1053</v>
      </c>
      <c r="E4" t="s">
        <v>1054</v>
      </c>
    </row>
    <row r="5" spans="1:5" x14ac:dyDescent="0.3">
      <c r="A5" s="17" t="s">
        <v>1055</v>
      </c>
    </row>
    <row r="6" spans="1:5" x14ac:dyDescent="0.3">
      <c r="A6" s="17" t="s">
        <v>1056</v>
      </c>
      <c r="B6">
        <v>6</v>
      </c>
      <c r="C6">
        <v>1</v>
      </c>
      <c r="D6">
        <v>16</v>
      </c>
      <c r="E6">
        <v>23</v>
      </c>
    </row>
    <row r="7" spans="1:5" x14ac:dyDescent="0.3">
      <c r="A7" s="17" t="s">
        <v>1057</v>
      </c>
      <c r="D7">
        <v>19</v>
      </c>
      <c r="E7">
        <v>19</v>
      </c>
    </row>
    <row r="8" spans="1:5" x14ac:dyDescent="0.3">
      <c r="A8" s="17" t="s">
        <v>1054</v>
      </c>
      <c r="B8">
        <v>6</v>
      </c>
      <c r="C8">
        <v>1</v>
      </c>
      <c r="D8">
        <v>35</v>
      </c>
      <c r="E8">
        <v>42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805a6913-d532-46d5-825a-c983de7a8dd2}" enabled="0" method="" siteId="{805a6913-d532-46d5-825a-c983de7a8d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MAY-JULY</vt:lpstr>
      <vt:lpstr>BRANCHES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Khairunnisa, RAMDAN (FMSB)</dc:creator>
  <cp:keywords/>
  <dc:description/>
  <cp:lastModifiedBy>Nurul Syuhada, MOHD NADZRI (FFMB)</cp:lastModifiedBy>
  <cp:revision/>
  <dcterms:created xsi:type="dcterms:W3CDTF">2026-04-26T01:13:40Z</dcterms:created>
  <dcterms:modified xsi:type="dcterms:W3CDTF">2026-10-27T04:03:56Z</dcterms:modified>
  <cp:category/>
  <cp:contentStatus/>
</cp:coreProperties>
</file>